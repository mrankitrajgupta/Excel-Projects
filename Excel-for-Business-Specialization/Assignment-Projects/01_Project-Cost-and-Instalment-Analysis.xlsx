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nkit Gupta\Desktop\"/>
    </mc:Choice>
  </mc:AlternateContent>
  <xr:revisionPtr revIDLastSave="0" documentId="13_ncr:1_{01D3CB97-A2F8-450D-8BFC-76E9B649893D}" xr6:coauthVersionLast="47" xr6:coauthVersionMax="47" xr10:uidLastSave="{00000000-0000-0000-0000-000000000000}"/>
  <bookViews>
    <workbookView xWindow="-120" yWindow="-120" windowWidth="20730" windowHeight="11160" tabRatio="687" firstSheet="1" activeTab="2" xr2:uid="{00000000-000D-0000-FFFF-FFFF00000000}"/>
  </bookViews>
  <sheets>
    <sheet name="Original Instructions" sheetId="15" state="hidden" r:id="rId1"/>
    <sheet name="Project-Overview" sheetId="21" r:id="rId2"/>
    <sheet name="Project-Data" sheetId="7" r:id="rId3"/>
    <sheet name="Named-Ranges" sheetId="20" r:id="rId4"/>
  </sheets>
  <definedNames>
    <definedName name="_1st_instalment">'Project-Data'!$I$5:$I$64</definedName>
    <definedName name="_2nd_instalment">'Project-Data'!$J$5:$J$64</definedName>
    <definedName name="_3rd_instalment">'Project-Data'!$K$5:$K$64</definedName>
    <definedName name="_4th_instalment">'Project-Data'!$L$5:$L$64</definedName>
    <definedName name="_xlnm._FilterDatabase" localSheetId="2" hidden="1">'Project-Data'!$B$1:$O$64</definedName>
    <definedName name="Finish_date">'Project-Data'!$E$5:$E$64</definedName>
    <definedName name="Project_cost">'Project-Data'!$G$5:$G$64</definedName>
    <definedName name="Project_number">'Project-Data'!$B$5:$B$64</definedName>
    <definedName name="Project_profit">'Project-Data'!$O$5:$O$64</definedName>
    <definedName name="Quoted_price">'Project-Data'!$H$5:$H$64</definedName>
    <definedName name="Start_date">'Project-Data'!$D$5:$D$64</definedName>
    <definedName name="Total_receipts">'Project-Data'!$M$5:$M$64</definedName>
  </definedNames>
  <calcPr calcId="191029" concurrentCalc="0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" i="7" l="1" a="1"/>
  <c r="F5" i="7"/>
  <c r="H5" i="7" a="1"/>
  <c r="H5" i="7"/>
  <c r="O5" i="7" a="1"/>
  <c r="O5" i="7"/>
  <c r="T14" i="7"/>
  <c r="T11" i="7"/>
  <c r="T8" i="7"/>
  <c r="S14" i="7"/>
  <c r="S11" i="7"/>
  <c r="S8" i="7"/>
  <c r="T5" i="7"/>
  <c r="S5" i="7"/>
  <c r="I5" i="7" a="1"/>
  <c r="J5" i="7" a="1"/>
  <c r="K5" i="7" a="1"/>
  <c r="L5" i="7" a="1"/>
  <c r="I5" i="7"/>
  <c r="J5" i="7"/>
  <c r="K5" i="7"/>
  <c r="L5" i="7"/>
  <c r="M5" i="7" a="1"/>
  <c r="M5" i="7"/>
  <c r="N5" i="7" a="1"/>
  <c r="N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<sst xmlns="http://schemas.openxmlformats.org/spreadsheetml/2006/main" count="143" uniqueCount="92">
  <si>
    <t>Project number</t>
  </si>
  <si>
    <t>4th instalment</t>
  </si>
  <si>
    <t>Total receipts</t>
  </si>
  <si>
    <t>Estimated finish date</t>
  </si>
  <si>
    <t>Receipt from customer</t>
  </si>
  <si>
    <t>1st instalment</t>
  </si>
  <si>
    <t>2nd instalment</t>
  </si>
  <si>
    <t>3rd instalment</t>
  </si>
  <si>
    <t>Total</t>
  </si>
  <si>
    <t>Baharak Pty Ltd</t>
  </si>
  <si>
    <t>Barbad Pty Ltd</t>
  </si>
  <si>
    <t>Bolour Pty Ltd</t>
  </si>
  <si>
    <t>Dadbeh Pty Ltd</t>
  </si>
  <si>
    <t>Delaram Pty Ltd</t>
  </si>
  <si>
    <t>Ashkan Pty Ltd</t>
  </si>
  <si>
    <t>Asal Pty Ltd</t>
  </si>
  <si>
    <t>Arsalan Pty Ltd</t>
  </si>
  <si>
    <t>Aram Pty Ltd</t>
  </si>
  <si>
    <t>Azarakhsh Pty Ltd</t>
  </si>
  <si>
    <t>Afsoon Pty Ltd</t>
  </si>
  <si>
    <t>Anoush Pty Ltd</t>
  </si>
  <si>
    <t>Beh Ayin Pty Ltd</t>
  </si>
  <si>
    <t>Afshar Pty Ltd</t>
  </si>
  <si>
    <t>Ahou Pty Ltd</t>
  </si>
  <si>
    <t>Number of estimated days to complete</t>
  </si>
  <si>
    <t>Of Quoted price</t>
  </si>
  <si>
    <t xml:space="preserve">Increase to the Project cost </t>
  </si>
  <si>
    <t>Project profit</t>
  </si>
  <si>
    <t>Average</t>
  </si>
  <si>
    <t>Maximum</t>
  </si>
  <si>
    <t>Minimum</t>
  </si>
  <si>
    <t>Week 3: Practice Challenge 1 -  Named Ranges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</si>
  <si>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</si>
  <si>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Project cost</t>
  </si>
  <si>
    <t>Quoted price to the customer</t>
  </si>
  <si>
    <t>Customer name</t>
  </si>
  <si>
    <t>Project start date</t>
  </si>
  <si>
    <t>Outstanding amount</t>
  </si>
  <si>
    <t>PROJECT OVERVIEW</t>
  </si>
  <si>
    <t>Project Objective</t>
  </si>
  <si>
    <t>The objective of this project is to analyze project costs and customer payments using Excel Named Ranges, formulas, and built-in functions. The project involves calculating project duration, quoted customer price, instalments, total receipts, outstanding amounts, and project profit.</t>
  </si>
  <si>
    <t>Work Completed</t>
  </si>
  <si>
    <t>Calculated the estimated number of days required to complete each project using Named Ranges.</t>
  </si>
  <si>
    <t>Calculated the quoted price to the customer by applying a 70% markup to the project cost using Named Ranges.</t>
  </si>
  <si>
    <t>Created a Named Range for Quoted Price.</t>
  </si>
  <si>
    <t>Calculated the 1st, 2nd, 3rd, and 4th instalments using the specified percentage values.</t>
  </si>
  <si>
    <t>Created a Named Range for Total Receipts.</t>
  </si>
  <si>
    <t>Calculated Outstanding Amount and Project Profit using Named Ranges.</t>
  </si>
  <si>
    <t>Created a Named Range for Project Profit.</t>
  </si>
  <si>
    <t>Used SUM, AVERAGE, MAX, and MIN functions with Named Ranges for additional calculations.</t>
  </si>
  <si>
    <t>Used Create from Selection to create Named Ranges for the 1st, 2nd, 3rd, and 4th Instalments.</t>
  </si>
  <si>
    <t>Created a separate Named Ranges worksheet and recorded all Named Ranges using Use in Formula.</t>
  </si>
  <si>
    <t>Named Ranges</t>
  </si>
  <si>
    <t>Creating and managing Named Ranges</t>
  </si>
  <si>
    <t>Using Named Ranges in formulas</t>
  </si>
  <si>
    <t>Create from Selection</t>
  </si>
  <si>
    <t>Apply Names</t>
  </si>
  <si>
    <t>Date calculations</t>
  </si>
  <si>
    <t>Percentage and markup calculations</t>
  </si>
  <si>
    <t>Instalment calculations</t>
  </si>
  <si>
    <t>Financial calculations</t>
  </si>
  <si>
    <t>SUM, AVERAGE, MAX, and MIN functions</t>
  </si>
  <si>
    <t>Project cost and profit calculations</t>
  </si>
  <si>
    <t>Workbook organization and documentation</t>
  </si>
  <si>
    <r>
      <rPr>
        <b/>
        <sz val="14"/>
        <color theme="1"/>
        <rFont val="Calibri"/>
        <family val="2"/>
        <scheme val="minor"/>
      </rPr>
      <t>Project Title:</t>
    </r>
    <r>
      <rPr>
        <sz val="14"/>
        <color theme="1"/>
        <rFont val="Calibri"/>
        <family val="2"/>
        <scheme val="minor"/>
      </rPr>
      <t xml:space="preserve"> Project Cost &amp; Instalment Analysis Using Named Ranges</t>
    </r>
  </si>
  <si>
    <r>
      <rPr>
        <b/>
        <sz val="14"/>
        <color theme="1"/>
        <rFont val="Calibri"/>
        <family val="2"/>
        <scheme val="minor"/>
      </rPr>
      <t>Course:</t>
    </r>
    <r>
      <rPr>
        <sz val="14"/>
        <color theme="1"/>
        <rFont val="Calibri"/>
        <family val="2"/>
        <scheme val="minor"/>
      </rPr>
      <t xml:space="preserve"> Excel for Business Specialization</t>
    </r>
  </si>
  <si>
    <r>
      <rPr>
        <b/>
        <sz val="14"/>
        <color theme="1"/>
        <rFont val="Calibri"/>
        <family val="2"/>
        <scheme val="minor"/>
      </rPr>
      <t>Project Type:</t>
    </r>
    <r>
      <rPr>
        <sz val="14"/>
        <color theme="1"/>
        <rFont val="Calibri"/>
        <family val="2"/>
        <scheme val="minor"/>
      </rPr>
      <t xml:space="preserve"> Course Assignment Project</t>
    </r>
  </si>
  <si>
    <t>Created Named Ranges.</t>
  </si>
  <si>
    <t>Excel Skills &amp; Techniques Used</t>
  </si>
  <si>
    <t>_1st_instalment</t>
  </si>
  <si>
    <t>='Project-Data'!$I$5:$I$64</t>
  </si>
  <si>
    <t>_2nd_instalment</t>
  </si>
  <si>
    <t>='Project-Data'!$J$5:$J$64</t>
  </si>
  <si>
    <t>_3rd_instalment</t>
  </si>
  <si>
    <t>='Project-Data'!$K$5:$K$64</t>
  </si>
  <si>
    <t>_4th_instalment</t>
  </si>
  <si>
    <t>='Project-Data'!$L$5:$L$64</t>
  </si>
  <si>
    <t>Finish_date</t>
  </si>
  <si>
    <t>='Project-Data'!$E$5:$E$64</t>
  </si>
  <si>
    <t>Project_cost</t>
  </si>
  <si>
    <t>='Project-Data'!$G$5:$G$64</t>
  </si>
  <si>
    <t>Project_number</t>
  </si>
  <si>
    <t>='Project-Data'!$B$5:$B$64</t>
  </si>
  <si>
    <t>Project_profit</t>
  </si>
  <si>
    <t>='Project-Data'!$O$5:$O$64</t>
  </si>
  <si>
    <t>Quoted_price</t>
  </si>
  <si>
    <t>='Project-Data'!$H$5:$H$64</t>
  </si>
  <si>
    <t>Start_date</t>
  </si>
  <si>
    <t>='Project-Data'!$D$5:$D$64</t>
  </si>
  <si>
    <t>Total_receipts</t>
  </si>
  <si>
    <t>='Project-Data'!$M$5:$M$64</t>
  </si>
  <si>
    <t>Calculated Total Receipts by adding the four instalment amounts using Named Ranges.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</si>
</sst>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$-409]#,##0.00"/>
    <numFmt numFmtId="166" formatCode="_-[$$-409]* #,##0.00_ ;_-[$$-409]* \-#,##0.00\ ;_-[$$-409]* &quot;-&quot;??_ ;_-@_ "/>
  </numFmts>
  <fonts count="19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8"/>
      <color theme="1"/>
      <name val="Calibri Light"/>
      <family val="2"/>
    </font>
    <font>
      <b/>
      <sz val="18"/>
      <color theme="3"/>
      <name val="Calibri Light"/>
      <family val="2"/>
      <scheme val="major"/>
    </font>
    <font>
      <sz val="12"/>
      <color theme="1"/>
      <name val="Calibri"/>
      <family val="2"/>
      <scheme val="minor"/>
    </font>
    <font>
      <sz val="15"/>
      <color theme="3"/>
      <name val="National Book"/>
      <family val="3"/>
    </font>
    <font>
      <sz val="11"/>
      <color theme="1"/>
      <name val="Newzald Book"/>
      <family val="3"/>
    </font>
    <font>
      <b/>
      <sz val="22"/>
      <color rgb="FF0070C0"/>
      <name val="Calibri"/>
      <family val="2"/>
      <scheme val="minor"/>
    </font>
    <font>
      <b/>
      <sz val="18"/>
      <color rgb="FF0070C0"/>
      <name val="Calibri"/>
      <family val="2"/>
      <scheme val="minor"/>
    </font>
    <font>
      <sz val="14"/>
      <color rgb="FF00206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9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  <xf numFmtId="0" fontId="13" fillId="0" borderId="0"/>
    <xf numFmtId="0" fontId="14" fillId="0" borderId="17" applyNumberFormat="0" applyFill="0" applyAlignment="0" applyProtection="0"/>
    <xf numFmtId="0" fontId="15" fillId="0" borderId="0">
      <alignment vertical="top" wrapText="1"/>
    </xf>
  </cellStyleXfs>
  <cellXfs count="54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Fill="1" applyBorder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hidden="1"/>
    </xf>
    <xf numFmtId="14" fontId="0" fillId="0" borderId="1" xfId="0" applyNumberFormat="1" applyBorder="1" applyAlignment="1" applyProtection="1">
      <alignment horizontal="center"/>
      <protection hidden="1"/>
    </xf>
    <xf numFmtId="0" fontId="0" fillId="0" borderId="1" xfId="0" applyFill="1" applyBorder="1" applyProtection="1">
      <protection locked="0"/>
    </xf>
    <xf numFmtId="0" fontId="0" fillId="0" borderId="0" xfId="0" applyFill="1" applyProtection="1">
      <protection locked="0"/>
    </xf>
    <xf numFmtId="0" fontId="0" fillId="0" borderId="0" xfId="0" applyBorder="1" applyProtection="1">
      <protection locked="0"/>
    </xf>
    <xf numFmtId="0" fontId="5" fillId="0" borderId="0" xfId="0" applyFont="1" applyFill="1" applyBorder="1" applyAlignment="1" applyProtection="1">
      <protection locked="0"/>
    </xf>
    <xf numFmtId="0" fontId="7" fillId="3" borderId="5" xfId="0" applyFont="1" applyFill="1" applyBorder="1" applyAlignment="1" applyProtection="1">
      <alignment horizontal="center" vertical="center" wrapText="1"/>
      <protection locked="0"/>
    </xf>
    <xf numFmtId="0" fontId="7" fillId="3" borderId="1" xfId="0" applyFont="1" applyFill="1" applyBorder="1" applyAlignment="1" applyProtection="1">
      <alignment horizontal="center" vertical="center" wrapText="1"/>
      <protection locked="0"/>
    </xf>
    <xf numFmtId="0" fontId="7" fillId="3" borderId="6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top"/>
      <protection locked="0"/>
    </xf>
    <xf numFmtId="0" fontId="4" fillId="0" borderId="0" xfId="0" applyFont="1" applyFill="1" applyBorder="1" applyAlignment="1" applyProtection="1">
      <alignment vertical="top" wrapText="1"/>
      <protection locked="0"/>
    </xf>
    <xf numFmtId="0" fontId="0" fillId="0" borderId="0" xfId="0" applyAlignment="1" applyProtection="1">
      <alignment horizontal="center" vertical="top"/>
      <protection hidden="1"/>
    </xf>
    <xf numFmtId="0" fontId="0" fillId="0" borderId="0" xfId="0" applyAlignment="1" applyProtection="1">
      <alignment vertical="top"/>
      <protection locked="0"/>
    </xf>
    <xf numFmtId="9" fontId="8" fillId="2" borderId="9" xfId="1" applyFont="1" applyFill="1" applyBorder="1" applyAlignment="1" applyProtection="1">
      <alignment horizontal="center" vertical="center"/>
      <protection locked="0"/>
    </xf>
    <xf numFmtId="0" fontId="9" fillId="2" borderId="10" xfId="0" applyFont="1" applyFill="1" applyBorder="1" applyAlignment="1" applyProtection="1">
      <alignment horizontal="center" vertical="top"/>
      <protection locked="0"/>
    </xf>
    <xf numFmtId="0" fontId="7" fillId="3" borderId="14" xfId="0" applyFont="1" applyFill="1" applyBorder="1" applyAlignment="1" applyProtection="1">
      <alignment vertical="center" wrapText="1"/>
      <protection hidden="1"/>
    </xf>
    <xf numFmtId="0" fontId="7" fillId="3" borderId="15" xfId="0" applyFont="1" applyFill="1" applyBorder="1" applyAlignment="1" applyProtection="1">
      <alignment vertical="center" wrapText="1"/>
      <protection locked="0"/>
    </xf>
    <xf numFmtId="0" fontId="4" fillId="0" borderId="0" xfId="0" applyFont="1" applyFill="1" applyBorder="1" applyAlignment="1" applyProtection="1">
      <alignment horizontal="center" vertical="top" wrapText="1"/>
      <protection locked="0"/>
    </xf>
    <xf numFmtId="0" fontId="7" fillId="0" borderId="0" xfId="0" applyFont="1" applyFill="1" applyBorder="1" applyAlignment="1" applyProtection="1">
      <alignment horizontal="center" vertical="center" wrapText="1"/>
      <protection locked="0"/>
    </xf>
    <xf numFmtId="164" fontId="0" fillId="0" borderId="0" xfId="0" applyNumberFormat="1" applyFill="1" applyBorder="1" applyProtection="1">
      <protection locked="0"/>
    </xf>
    <xf numFmtId="164" fontId="0" fillId="0" borderId="12" xfId="0" applyNumberFormat="1" applyFill="1" applyBorder="1" applyProtection="1">
      <protection locked="0"/>
    </xf>
    <xf numFmtId="0" fontId="0" fillId="0" borderId="0" xfId="0" applyFill="1"/>
    <xf numFmtId="0" fontId="0" fillId="0" borderId="0" xfId="0" applyAlignment="1">
      <alignment wrapText="1"/>
    </xf>
    <xf numFmtId="0" fontId="7" fillId="3" borderId="4" xfId="0" applyFont="1" applyFill="1" applyBorder="1" applyAlignment="1" applyProtection="1">
      <alignment horizontal="center" vertical="center" wrapText="1"/>
      <protection locked="0"/>
    </xf>
    <xf numFmtId="0" fontId="7" fillId="3" borderId="1" xfId="0" applyFont="1" applyFill="1" applyBorder="1" applyAlignment="1" applyProtection="1">
      <alignment horizontal="center" vertical="center" wrapText="1"/>
      <protection hidden="1"/>
    </xf>
    <xf numFmtId="0" fontId="7" fillId="3" borderId="2" xfId="0" applyFont="1" applyFill="1" applyBorder="1" applyAlignment="1" applyProtection="1">
      <alignment horizontal="center" vertical="center" wrapText="1"/>
      <protection locked="0"/>
    </xf>
    <xf numFmtId="0" fontId="7" fillId="3" borderId="14" xfId="0" applyFont="1" applyFill="1" applyBorder="1" applyAlignment="1" applyProtection="1">
      <alignment horizontal="center" vertical="center" wrapText="1"/>
      <protection locked="0"/>
    </xf>
    <xf numFmtId="0" fontId="7" fillId="3" borderId="7" xfId="0" applyFont="1" applyFill="1" applyBorder="1" applyAlignment="1" applyProtection="1">
      <alignment horizontal="center" vertical="center"/>
      <protection locked="0"/>
    </xf>
    <xf numFmtId="0" fontId="7" fillId="3" borderId="7" xfId="0" applyFont="1" applyFill="1" applyBorder="1" applyAlignment="1" applyProtection="1">
      <alignment horizontal="center" vertical="center" wrapText="1"/>
      <protection locked="0"/>
    </xf>
    <xf numFmtId="0" fontId="7" fillId="3" borderId="7" xfId="0" applyFont="1" applyFill="1" applyBorder="1" applyAlignment="1" applyProtection="1">
      <alignment horizontal="center" vertical="center" wrapText="1"/>
      <protection hidden="1"/>
    </xf>
    <xf numFmtId="0" fontId="7" fillId="3" borderId="18" xfId="0" applyFont="1" applyFill="1" applyBorder="1" applyAlignment="1" applyProtection="1">
      <alignment horizontal="center" vertical="center" wrapText="1"/>
      <protection hidden="1"/>
    </xf>
    <xf numFmtId="0" fontId="7" fillId="3" borderId="19" xfId="0" applyFont="1" applyFill="1" applyBorder="1" applyAlignment="1" applyProtection="1">
      <alignment horizontal="center" vertical="center" wrapText="1"/>
      <protection hidden="1"/>
    </xf>
    <xf numFmtId="0" fontId="3" fillId="0" borderId="0" xfId="0" applyFont="1" applyAlignment="1">
      <alignment wrapText="1"/>
    </xf>
    <xf numFmtId="0" fontId="16" fillId="0" borderId="20" xfId="0" applyFont="1" applyBorder="1" applyAlignment="1">
      <alignment wrapText="1"/>
    </xf>
    <xf numFmtId="0" fontId="17" fillId="0" borderId="20" xfId="0" applyFont="1" applyBorder="1" applyAlignment="1">
      <alignment wrapText="1"/>
    </xf>
    <xf numFmtId="0" fontId="2" fillId="0" borderId="0" xfId="0" applyFont="1" applyAlignment="1">
      <alignment wrapText="1"/>
    </xf>
    <xf numFmtId="165" fontId="0" fillId="0" borderId="1" xfId="0" applyNumberFormat="1" applyFill="1" applyBorder="1" applyProtection="1">
      <protection locked="0"/>
    </xf>
    <xf numFmtId="0" fontId="11" fillId="0" borderId="0" xfId="0" applyFont="1" applyAlignment="1">
      <alignment horizontal="center" vertical="center" wrapText="1"/>
    </xf>
    <xf numFmtId="0" fontId="7" fillId="3" borderId="14" xfId="0" applyNumberFormat="1" applyFont="1" applyFill="1" applyBorder="1" applyAlignment="1" applyProtection="1">
      <alignment horizontal="right" vertical="center"/>
      <protection locked="0"/>
    </xf>
    <xf numFmtId="0" fontId="7" fillId="3" borderId="13" xfId="0" applyNumberFormat="1" applyFont="1" applyFill="1" applyBorder="1" applyAlignment="1" applyProtection="1">
      <alignment horizontal="right" vertical="center"/>
      <protection locked="0"/>
    </xf>
    <xf numFmtId="0" fontId="7" fillId="3" borderId="16" xfId="0" applyNumberFormat="1" applyFont="1" applyFill="1" applyBorder="1" applyAlignment="1" applyProtection="1">
      <alignment horizontal="right" vertical="center"/>
      <protection locked="0"/>
    </xf>
    <xf numFmtId="166" fontId="13" fillId="0" borderId="7" xfId="0" applyNumberFormat="1" applyFont="1" applyFill="1" applyBorder="1" applyAlignment="1" applyProtection="1">
      <alignment horizontal="center" vertical="center"/>
      <protection locked="0"/>
    </xf>
    <xf numFmtId="166" fontId="13" fillId="0" borderId="21" xfId="0" applyNumberFormat="1" applyFont="1" applyFill="1" applyBorder="1" applyAlignment="1" applyProtection="1">
      <alignment horizontal="center" vertical="center"/>
      <protection locked="0"/>
    </xf>
    <xf numFmtId="166" fontId="13" fillId="0" borderId="8" xfId="0" applyNumberFormat="1" applyFont="1" applyFill="1" applyBorder="1" applyAlignment="1" applyProtection="1">
      <alignment horizontal="center" vertical="center"/>
      <protection locked="0"/>
    </xf>
    <xf numFmtId="0" fontId="10" fillId="3" borderId="3" xfId="0" applyFont="1" applyFill="1" applyBorder="1" applyAlignment="1" applyProtection="1">
      <alignment horizontal="center" vertical="center" wrapText="1"/>
      <protection locked="0"/>
    </xf>
    <xf numFmtId="0" fontId="10" fillId="3" borderId="8" xfId="0" applyFont="1" applyFill="1" applyBorder="1" applyAlignment="1" applyProtection="1">
      <alignment horizontal="center" vertical="center" wrapText="1"/>
      <protection locked="0"/>
    </xf>
    <xf numFmtId="0" fontId="10" fillId="3" borderId="11" xfId="0" applyFont="1" applyFill="1" applyBorder="1" applyAlignment="1" applyProtection="1">
      <alignment horizontal="center" vertical="center" wrapText="1"/>
      <protection locked="0"/>
    </xf>
    <xf numFmtId="0" fontId="18" fillId="0" borderId="0" xfId="0" applyFont="1" applyAlignment="1">
      <alignment horizontal="center"/>
    </xf>
  </cellXfs>
  <cellStyles count="7">
    <cellStyle name="MQ Body" xfId="6" xr:uid="{00000000-0005-0000-0000-000001000000}"/>
    <cellStyle name="MQ Heading 1" xfId="5" xr:uid="{00000000-0005-0000-0000-000002000000}"/>
    <cellStyle name="Normal" xfId="0" builtinId="0"/>
    <cellStyle name="Normal 2 2" xfId="2" xr:uid="{00000000-0005-0000-0000-000004000000}"/>
    <cellStyle name="Normal 4" xfId="4" xr:uid="{00000000-0005-0000-0000-000005000000}"/>
    <cellStyle name="Percent" xfId="1" builtinId="5"/>
    <cellStyle name="Title 2" xfId="3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</xdr:row>
      <xdr:rowOff>142875</xdr:rowOff>
    </xdr:from>
    <xdr:to>
      <xdr:col>7</xdr:col>
      <xdr:colOff>213360</xdr:colOff>
      <xdr:row>55</xdr:row>
      <xdr:rowOff>173992</xdr:rowOff>
    </xdr:to>
    <xdr:sp macro="" textlink="">
      <xdr:nvSpPr>
        <xdr:cNvPr id="3" name="Rectangle: Rounded Corners 1">
          <a:extLst>
            <a:ext uri="{FF2B5EF4-FFF2-40B4-BE49-F238E27FC236}">
              <a16:creationId xmlns:a16="http://schemas.microsoft.com/office/drawing/2014/main" id="{EC8F0B0E-0BF7-47B3-9279-08BB295C027A}"/>
            </a:ext>
          </a:extLst>
        </xdr:cNvPr>
        <xdr:cNvSpPr/>
      </xdr:nvSpPr>
      <xdr:spPr>
        <a:xfrm>
          <a:off x="133350" y="1257300"/>
          <a:ext cx="8138160" cy="10318117"/>
        </a:xfrm>
        <a:prstGeom prst="roundRect">
          <a:avLst>
            <a:gd name="adj" fmla="val 4524"/>
          </a:avLst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AU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 3 Challenge</a:t>
          </a:r>
        </a:p>
        <a:p>
          <a:pPr algn="ctr"/>
          <a:endParaRPr lang="en-AU" sz="2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You have been asked to prepare a report for the company's 60 projects.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Go to "Project-Data" sheet</a:t>
          </a: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Find directions in the Yellow Cells</a:t>
          </a: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Pink cells should be completed 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You will need to complete the following tasks on the Project-Data sheet.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Define named ranges for:</a:t>
          </a:r>
        </a:p>
        <a:p>
          <a:r>
            <a:rPr lang="en-AU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"Project number (column B)", "Start date (column D)", "Finish date (column E)" and "Project cost (column G)"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Use "Named Range" to complete "Number of estimated days to complete (column F)"</a:t>
          </a: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Use "Named Range" and 70% increase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(H1) 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to complete "Quoted price to the customer (column H)"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Create Named Range for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"Quoted price (column H)", </a:t>
          </a:r>
          <a:r>
            <a:rPr lang="en-AU" sz="14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then complete 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"1st Instalment", "2nd Instalment", "3rd Instalment" and "4th Instalment", using Named Ranges and percentages in cells "</a:t>
          </a:r>
          <a:r>
            <a:rPr lang="en-AU" sz="14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I1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", "J1", "K1" and "L1" respectively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Add up 1st, 2nd, 3rd and 4th instalment</a:t>
          </a:r>
          <a:r>
            <a:rPr lang="en-AU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columns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without using Named Ranges and not using Sum (∑)  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Create Named Range for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"Total receipts (column M)", </a:t>
          </a:r>
          <a:r>
            <a:rPr lang="en-AU" sz="14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then 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complete "Outstanding amount" and "Project Profit" columns using Named Ranges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Create Named Range for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"Project Profit (column O)"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AU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then c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omplete “column S" and "column O" using Named Ranges and Functions (Sum, Average, Max and Min)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Go to "Formulas" and “Name Manager" to delete Named Range: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"Project _number (column B)"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Go to "Create from Selection" and create Named Ranges for "1st Instalment", "2nd Instalment", "3rd Instalment" and "4th Instalment"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Use "Apply Names", select your newly created Named Ranges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en-A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"1st Instalment", "2nd Instalment", "3rd Instalment" and "4th Instalment") 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to change the "Total receipts" column M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Insert a new worksheet, change the worksheet name to "Named Ranges" and record all Named Ranges in the worksheet by "Use in Formula" under "Formula" tab.</a:t>
          </a:r>
        </a:p>
        <a:p>
          <a:endParaRPr lang="en-AU" sz="14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AU" sz="14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Well done! Don't forget to save your workbook.</a:t>
          </a:r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AU" sz="1400">
            <a:effectLst/>
          </a:endParaRPr>
        </a:p>
        <a:p>
          <a:pPr algn="l"/>
          <a:endParaRPr lang="en-AU" sz="1400" b="0" baseline="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7"/>
  <sheetViews>
    <sheetView showGridLines="0" workbookViewId="0">
      <selection sqref="A1:D1"/>
    </sheetView>
  </sheetViews>
  <sheetFormatPr defaultColWidth="10.140625" defaultRowHeight="15"/>
  <cols>
    <col min="1" max="1" width="10.140625" customWidth="1"/>
    <col min="4" max="4" width="60" customWidth="1"/>
  </cols>
  <sheetData>
    <row r="1" spans="1:13" ht="87.95" customHeight="1">
      <c r="A1" s="43" t="s">
        <v>31</v>
      </c>
      <c r="B1" s="43"/>
      <c r="C1" s="43"/>
      <c r="D1" s="43"/>
    </row>
    <row r="5" spans="1:13">
      <c r="I5" s="9"/>
      <c r="J5" s="9"/>
      <c r="K5" s="9"/>
      <c r="L5" s="9"/>
      <c r="M5" s="9"/>
    </row>
    <row r="6" spans="1:13">
      <c r="I6" s="9"/>
      <c r="J6" s="9"/>
      <c r="K6" s="9"/>
      <c r="L6" s="9"/>
      <c r="M6" s="9"/>
    </row>
    <row r="7" spans="1:13">
      <c r="I7" s="9"/>
      <c r="J7" s="9"/>
      <c r="K7" s="9"/>
      <c r="L7" s="9"/>
      <c r="M7" s="9"/>
    </row>
    <row r="8" spans="1:13">
      <c r="I8" s="9"/>
      <c r="J8" s="9"/>
      <c r="K8" s="9"/>
      <c r="L8" s="9"/>
      <c r="M8" s="9"/>
    </row>
    <row r="9" spans="1:13">
      <c r="I9" s="27"/>
      <c r="J9" s="27"/>
      <c r="K9" s="27"/>
      <c r="L9" s="27"/>
      <c r="M9" s="27"/>
    </row>
    <row r="10" spans="1:13">
      <c r="I10" s="27"/>
      <c r="J10" s="27"/>
      <c r="K10" s="27"/>
      <c r="L10" s="27"/>
      <c r="M10" s="27"/>
    </row>
    <row r="11" spans="1:13">
      <c r="I11" s="27"/>
      <c r="J11" s="27"/>
      <c r="K11" s="27"/>
      <c r="L11" s="27"/>
      <c r="M11" s="27"/>
    </row>
    <row r="17" spans="11:11">
      <c r="K17" t="s">
        <v>32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01208-2605-4948-A3E4-E8E9BA1DD0CB}">
  <sheetPr>
    <tabColor theme="9"/>
  </sheetPr>
  <dimension ref="A1:A35"/>
  <sheetViews>
    <sheetView showGridLines="0" zoomScale="85" zoomScaleNormal="85" workbookViewId="0">
      <selection activeCell="E12" sqref="E12"/>
    </sheetView>
  </sheetViews>
  <sheetFormatPr defaultRowHeight="15"/>
  <cols>
    <col min="1" max="1" width="118.28515625" customWidth="1"/>
  </cols>
  <sheetData>
    <row r="1" spans="1:1" ht="28.5">
      <c r="A1" s="39" t="s">
        <v>38</v>
      </c>
    </row>
    <row r="2" spans="1:1" ht="18.75">
      <c r="A2" s="38" t="s">
        <v>64</v>
      </c>
    </row>
    <row r="3" spans="1:1" ht="18.75">
      <c r="A3" s="38" t="s">
        <v>65</v>
      </c>
    </row>
    <row r="4" spans="1:1" ht="18.75">
      <c r="A4" s="38" t="s">
        <v>66</v>
      </c>
    </row>
    <row r="5" spans="1:1">
      <c r="A5" s="28"/>
    </row>
    <row r="6" spans="1:1" ht="23.25">
      <c r="A6" s="40" t="s">
        <v>39</v>
      </c>
    </row>
    <row r="7" spans="1:1" ht="56.25">
      <c r="A7" s="38" t="s">
        <v>40</v>
      </c>
    </row>
    <row r="8" spans="1:1" ht="18.75">
      <c r="A8" s="38"/>
    </row>
    <row r="9" spans="1:1" ht="23.25">
      <c r="A9" s="40" t="s">
        <v>41</v>
      </c>
    </row>
    <row r="10" spans="1:1" ht="18.75">
      <c r="A10" s="38" t="s">
        <v>67</v>
      </c>
    </row>
    <row r="11" spans="1:1" ht="18.75">
      <c r="A11" s="38" t="s">
        <v>42</v>
      </c>
    </row>
    <row r="12" spans="1:1" ht="37.5">
      <c r="A12" s="38" t="s">
        <v>43</v>
      </c>
    </row>
    <row r="13" spans="1:1" ht="18.75">
      <c r="A13" s="38" t="s">
        <v>44</v>
      </c>
    </row>
    <row r="14" spans="1:1" ht="18.75">
      <c r="A14" s="38" t="s">
        <v>45</v>
      </c>
    </row>
    <row r="15" spans="1:1" ht="18.75">
      <c r="A15" s="38" t="s">
        <v>50</v>
      </c>
    </row>
    <row r="16" spans="1:1" ht="18.75">
      <c r="A16" s="41" t="s">
        <v>91</v>
      </c>
    </row>
    <row r="17" spans="1:1" ht="18.75">
      <c r="A17" s="38" t="s">
        <v>46</v>
      </c>
    </row>
    <row r="18" spans="1:1" ht="18.75">
      <c r="A18" s="38" t="s">
        <v>47</v>
      </c>
    </row>
    <row r="19" spans="1:1" ht="18.75">
      <c r="A19" s="38" t="s">
        <v>48</v>
      </c>
    </row>
    <row r="20" spans="1:1" ht="18.75">
      <c r="A20" s="38" t="s">
        <v>49</v>
      </c>
    </row>
    <row r="21" spans="1:1" ht="18.75">
      <c r="A21" s="38" t="s">
        <v>51</v>
      </c>
    </row>
    <row r="22" spans="1:1" ht="18.75">
      <c r="A22" s="38"/>
    </row>
    <row r="23" spans="1:1" ht="23.25">
      <c r="A23" s="40" t="s">
        <v>68</v>
      </c>
    </row>
    <row r="24" spans="1:1" ht="18.75">
      <c r="A24" s="38" t="s">
        <v>52</v>
      </c>
    </row>
    <row r="25" spans="1:1" ht="18.75">
      <c r="A25" s="38" t="s">
        <v>53</v>
      </c>
    </row>
    <row r="26" spans="1:1" ht="18.75">
      <c r="A26" s="38" t="s">
        <v>54</v>
      </c>
    </row>
    <row r="27" spans="1:1" ht="18.75">
      <c r="A27" s="38" t="s">
        <v>55</v>
      </c>
    </row>
    <row r="28" spans="1:1" ht="18.75">
      <c r="A28" s="38" t="s">
        <v>56</v>
      </c>
    </row>
    <row r="29" spans="1:1" ht="18.75">
      <c r="A29" s="38" t="s">
        <v>57</v>
      </c>
    </row>
    <row r="30" spans="1:1" ht="18.75">
      <c r="A30" s="38" t="s">
        <v>58</v>
      </c>
    </row>
    <row r="31" spans="1:1" ht="18.75">
      <c r="A31" s="38" t="s">
        <v>59</v>
      </c>
    </row>
    <row r="32" spans="1:1" ht="18.75">
      <c r="A32" s="38" t="s">
        <v>60</v>
      </c>
    </row>
    <row r="33" spans="1:1" ht="18.75">
      <c r="A33" s="38" t="s">
        <v>61</v>
      </c>
    </row>
    <row r="34" spans="1:1" ht="18.75">
      <c r="A34" s="38" t="s">
        <v>62</v>
      </c>
    </row>
    <row r="35" spans="1:1" ht="18.75">
      <c r="A35" s="38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B1:U64"/>
  <sheetViews>
    <sheetView tabSelected="1" zoomScaleNormal="100" workbookViewId="0">
      <selection activeCell="A5" sqref="A5"/>
    </sheetView>
  </sheetViews>
  <sheetFormatPr defaultColWidth="9.140625" defaultRowHeight="15"/>
  <cols>
    <col min="1" max="1" width="3.28515625" style="1" customWidth="1"/>
    <col min="2" max="2" width="8.7109375" style="2" bestFit="1" customWidth="1"/>
    <col min="3" max="3" width="16.5703125" style="1" bestFit="1" customWidth="1"/>
    <col min="4" max="4" width="10.5703125" style="6" bestFit="1" customWidth="1"/>
    <col min="5" max="5" width="11.28515625" style="6" bestFit="1" customWidth="1"/>
    <col min="6" max="6" width="15.85546875" style="1" bestFit="1" customWidth="1"/>
    <col min="7" max="7" width="12.5703125" style="6" bestFit="1" customWidth="1"/>
    <col min="8" max="8" width="19.5703125" style="1" bestFit="1" customWidth="1"/>
    <col min="9" max="9" width="15" style="1" bestFit="1" customWidth="1"/>
    <col min="10" max="10" width="15.85546875" style="1" bestFit="1" customWidth="1"/>
    <col min="11" max="12" width="15.42578125" style="1" bestFit="1" customWidth="1"/>
    <col min="13" max="13" width="14.42578125" style="1" bestFit="1" customWidth="1"/>
    <col min="14" max="14" width="13.28515625" style="1" bestFit="1" customWidth="1"/>
    <col min="15" max="15" width="14.28515625" style="1" bestFit="1" customWidth="1"/>
    <col min="16" max="16" width="6.28515625" style="9" customWidth="1"/>
    <col min="17" max="17" width="15.42578125" style="1" customWidth="1"/>
    <col min="18" max="18" width="10.7109375" style="1" bestFit="1" customWidth="1"/>
    <col min="19" max="19" width="18" style="1" bestFit="1" customWidth="1"/>
    <col min="20" max="20" width="15.5703125" style="1" bestFit="1" customWidth="1"/>
    <col min="21" max="16384" width="9.140625" style="1"/>
  </cols>
  <sheetData>
    <row r="1" spans="2:21" s="18" customFormat="1" ht="18.75">
      <c r="B1" s="15"/>
      <c r="C1" s="16"/>
      <c r="D1" s="17"/>
      <c r="E1" s="17"/>
      <c r="F1" s="16"/>
      <c r="G1" s="17"/>
      <c r="H1" s="19">
        <v>1.7</v>
      </c>
      <c r="I1" s="19">
        <v>0.15</v>
      </c>
      <c r="J1" s="19">
        <v>0.2</v>
      </c>
      <c r="K1" s="19">
        <v>0.25</v>
      </c>
      <c r="L1" s="19">
        <v>0.3</v>
      </c>
      <c r="M1" s="16"/>
      <c r="N1" s="16"/>
      <c r="O1" s="16"/>
      <c r="P1" s="23"/>
    </row>
    <row r="2" spans="2:21" s="18" customFormat="1" ht="15.75" thickBot="1">
      <c r="B2" s="15"/>
      <c r="C2" s="16"/>
      <c r="D2" s="17"/>
      <c r="E2" s="17"/>
      <c r="F2" s="16"/>
      <c r="G2" s="17"/>
      <c r="H2" s="20" t="s">
        <v>26</v>
      </c>
      <c r="I2" s="20" t="s">
        <v>25</v>
      </c>
      <c r="J2" s="20" t="s">
        <v>25</v>
      </c>
      <c r="K2" s="20" t="s">
        <v>25</v>
      </c>
      <c r="L2" s="20" t="s">
        <v>25</v>
      </c>
      <c r="M2" s="16"/>
      <c r="N2" s="16"/>
      <c r="O2" s="16"/>
      <c r="P2" s="23"/>
    </row>
    <row r="3" spans="2:21" s="5" customFormat="1" ht="29.25" thickBot="1">
      <c r="F3"/>
      <c r="I3" s="50" t="s">
        <v>4</v>
      </c>
      <c r="J3" s="51"/>
      <c r="K3" s="51"/>
      <c r="L3" s="51"/>
      <c r="M3" s="52"/>
      <c r="P3" s="24"/>
      <c r="Q3" s="16"/>
      <c r="R3" s="4"/>
      <c r="U3" s="4"/>
    </row>
    <row r="4" spans="2:21" s="5" customFormat="1" ht="48" thickBot="1">
      <c r="B4" s="34" t="s">
        <v>0</v>
      </c>
      <c r="C4" s="33" t="s">
        <v>35</v>
      </c>
      <c r="D4" s="35" t="s">
        <v>36</v>
      </c>
      <c r="E4" s="36" t="s">
        <v>3</v>
      </c>
      <c r="F4" s="30" t="s">
        <v>24</v>
      </c>
      <c r="G4" s="37" t="s">
        <v>33</v>
      </c>
      <c r="H4" s="31" t="s">
        <v>34</v>
      </c>
      <c r="I4" s="12" t="s">
        <v>5</v>
      </c>
      <c r="J4" s="13" t="s">
        <v>6</v>
      </c>
      <c r="K4" s="13" t="s">
        <v>7</v>
      </c>
      <c r="L4" s="13" t="s">
        <v>1</v>
      </c>
      <c r="M4" s="14" t="s">
        <v>2</v>
      </c>
      <c r="N4" s="32" t="s">
        <v>37</v>
      </c>
      <c r="O4" s="29" t="s">
        <v>27</v>
      </c>
      <c r="P4" s="16"/>
      <c r="Q4" s="11"/>
      <c r="R4" s="11"/>
      <c r="S4" s="21" t="s">
        <v>33</v>
      </c>
      <c r="T4" s="22" t="s">
        <v>27</v>
      </c>
      <c r="U4" s="4"/>
    </row>
    <row r="5" spans="2:21" ht="15" customHeight="1">
      <c r="B5" s="3">
        <v>1</v>
      </c>
      <c r="C5" s="8" t="s">
        <v>12</v>
      </c>
      <c r="D5" s="7">
        <v>42248</v>
      </c>
      <c r="E5" s="7">
        <v>42698</v>
      </c>
      <c r="F5" s="8" cm="1">
        <f t="array" ref="F5:F64">Finish_date-Start_date</f>
        <v>450</v>
      </c>
      <c r="G5" s="42">
        <v>90000</v>
      </c>
      <c r="H5" s="42" cm="1">
        <f t="array" ref="H5:H64">Project_cost*$H$1</f>
        <v>153000</v>
      </c>
      <c r="I5" s="42" cm="1">
        <f t="array" ref="I5:I64">Quoted_price*$I$1</f>
        <v>22950</v>
      </c>
      <c r="J5" s="42" cm="1">
        <f t="array" ref="J5:J64">Quoted_price*$J$1</f>
        <v>30600</v>
      </c>
      <c r="K5" s="42" cm="1">
        <f t="array" ref="K5:K64">Quoted_price*$K$1</f>
        <v>38250</v>
      </c>
      <c r="L5" s="42" cm="1">
        <f t="array" ref="L5:L64">Quoted_price*$L$1</f>
        <v>45900</v>
      </c>
      <c r="M5" s="42" cm="1">
        <f t="array" ref="M5:M64">_1st_instalment+_2nd_instalment+_3rd_instalment+_4th_instalment</f>
        <v>137700</v>
      </c>
      <c r="N5" s="42" cm="1">
        <f t="array" ref="N5:N64">Quoted_price-Total_receipts</f>
        <v>15300</v>
      </c>
      <c r="O5" s="42" cm="1">
        <f t="array" ref="O5:O64">Quoted_price-Project_cost</f>
        <v>63000</v>
      </c>
      <c r="P5" s="25"/>
      <c r="Q5" s="16"/>
      <c r="R5" s="44" t="s">
        <v>8</v>
      </c>
      <c r="S5" s="47">
        <f>SUM(Project_cost)</f>
        <v>2441700</v>
      </c>
      <c r="T5" s="47">
        <f>SUM(Project_profit)</f>
        <v>1709190</v>
      </c>
      <c r="U5" s="10"/>
    </row>
    <row r="6" spans="2:21" ht="15" customHeight="1">
      <c r="B6" s="3">
        <v>2</v>
      </c>
      <c r="C6" s="8" t="s">
        <v>14</v>
      </c>
      <c r="D6" s="7">
        <v>42275</v>
      </c>
      <c r="E6" s="7">
        <v>42464</v>
      </c>
      <c r="F6" s="8">
        <v>189</v>
      </c>
      <c r="G6" s="42">
        <v>37800</v>
      </c>
      <c r="H6" s="42">
        <v>64260</v>
      </c>
      <c r="I6" s="42">
        <v>9639</v>
      </c>
      <c r="J6" s="42">
        <v>12852</v>
      </c>
      <c r="K6" s="42">
        <v>16065</v>
      </c>
      <c r="L6" s="42">
        <v>19278</v>
      </c>
      <c r="M6" s="42">
        <v>57834</v>
      </c>
      <c r="N6" s="42">
        <v>6426</v>
      </c>
      <c r="O6" s="42">
        <v>26460</v>
      </c>
      <c r="P6" s="25"/>
      <c r="Q6" s="16"/>
      <c r="R6" s="45"/>
      <c r="S6" s="48"/>
      <c r="T6" s="48"/>
    </row>
    <row r="7" spans="2:21" ht="15.75" customHeight="1" thickBot="1">
      <c r="B7" s="3">
        <v>3</v>
      </c>
      <c r="C7" s="8" t="s">
        <v>11</v>
      </c>
      <c r="D7" s="7">
        <v>42427</v>
      </c>
      <c r="E7" s="7">
        <v>42823</v>
      </c>
      <c r="F7" s="8">
        <v>396</v>
      </c>
      <c r="G7" s="42">
        <v>79200</v>
      </c>
      <c r="H7" s="42">
        <v>134640</v>
      </c>
      <c r="I7" s="42">
        <v>20196</v>
      </c>
      <c r="J7" s="42">
        <v>26928</v>
      </c>
      <c r="K7" s="42">
        <v>33660</v>
      </c>
      <c r="L7" s="42">
        <v>40392</v>
      </c>
      <c r="M7" s="42">
        <v>121176</v>
      </c>
      <c r="N7" s="42">
        <v>13464</v>
      </c>
      <c r="O7" s="42">
        <v>55440</v>
      </c>
      <c r="P7" s="25"/>
      <c r="Q7" s="16"/>
      <c r="R7" s="46"/>
      <c r="S7" s="49"/>
      <c r="T7" s="49"/>
    </row>
    <row r="8" spans="2:21" ht="15" customHeight="1">
      <c r="B8" s="3">
        <v>4</v>
      </c>
      <c r="C8" s="8" t="s">
        <v>15</v>
      </c>
      <c r="D8" s="7">
        <v>42277</v>
      </c>
      <c r="E8" s="7">
        <v>42461.5</v>
      </c>
      <c r="F8" s="8">
        <v>184.5</v>
      </c>
      <c r="G8" s="42">
        <v>36900</v>
      </c>
      <c r="H8" s="42">
        <v>62730</v>
      </c>
      <c r="I8" s="42">
        <v>9409.5</v>
      </c>
      <c r="J8" s="42">
        <v>12546</v>
      </c>
      <c r="K8" s="42">
        <v>15682.5</v>
      </c>
      <c r="L8" s="42">
        <v>18819</v>
      </c>
      <c r="M8" s="42">
        <v>56457</v>
      </c>
      <c r="N8" s="42">
        <v>6273</v>
      </c>
      <c r="O8" s="42">
        <v>25830</v>
      </c>
      <c r="P8" s="25"/>
      <c r="Q8" s="16"/>
      <c r="R8" s="44" t="s">
        <v>28</v>
      </c>
      <c r="S8" s="47">
        <f>AVEDEV(Project_cost)</f>
        <v>26134.5</v>
      </c>
      <c r="T8" s="47">
        <f>AVEDEV(Project_profit)</f>
        <v>18294.150000000001</v>
      </c>
    </row>
    <row r="9" spans="2:21" ht="15" customHeight="1">
      <c r="B9" s="3">
        <v>5</v>
      </c>
      <c r="C9" s="8" t="s">
        <v>10</v>
      </c>
      <c r="D9" s="7">
        <v>42393</v>
      </c>
      <c r="E9" s="7">
        <v>42708</v>
      </c>
      <c r="F9" s="8">
        <v>315</v>
      </c>
      <c r="G9" s="42">
        <v>63000</v>
      </c>
      <c r="H9" s="42">
        <v>107100</v>
      </c>
      <c r="I9" s="42">
        <v>16065</v>
      </c>
      <c r="J9" s="42">
        <v>21420</v>
      </c>
      <c r="K9" s="42">
        <v>26775</v>
      </c>
      <c r="L9" s="42">
        <v>32130</v>
      </c>
      <c r="M9" s="42">
        <v>96390</v>
      </c>
      <c r="N9" s="42">
        <v>10710</v>
      </c>
      <c r="O9" s="42">
        <v>44100</v>
      </c>
      <c r="P9" s="25"/>
      <c r="Q9" s="16"/>
      <c r="R9" s="45"/>
      <c r="S9" s="48"/>
      <c r="T9" s="48"/>
    </row>
    <row r="10" spans="2:21" ht="15.75" customHeight="1" thickBot="1">
      <c r="B10" s="3">
        <v>6</v>
      </c>
      <c r="C10" s="8" t="s">
        <v>16</v>
      </c>
      <c r="D10" s="7">
        <v>42424</v>
      </c>
      <c r="E10" s="7">
        <v>42563.5</v>
      </c>
      <c r="F10" s="8">
        <v>139.5</v>
      </c>
      <c r="G10" s="42">
        <v>27900</v>
      </c>
      <c r="H10" s="42">
        <v>47430</v>
      </c>
      <c r="I10" s="42">
        <v>7114.5</v>
      </c>
      <c r="J10" s="42">
        <v>9486</v>
      </c>
      <c r="K10" s="42">
        <v>11857.5</v>
      </c>
      <c r="L10" s="42">
        <v>14229</v>
      </c>
      <c r="M10" s="42">
        <v>42687</v>
      </c>
      <c r="N10" s="42">
        <v>4743</v>
      </c>
      <c r="O10" s="42">
        <v>19530</v>
      </c>
      <c r="P10" s="26"/>
      <c r="Q10" s="16"/>
      <c r="R10" s="46"/>
      <c r="S10" s="49"/>
      <c r="T10" s="49"/>
    </row>
    <row r="11" spans="2:21" ht="15" customHeight="1">
      <c r="B11" s="3">
        <v>7</v>
      </c>
      <c r="C11" s="8" t="s">
        <v>17</v>
      </c>
      <c r="D11" s="7">
        <v>42392</v>
      </c>
      <c r="E11" s="7">
        <v>42486.5</v>
      </c>
      <c r="F11" s="8">
        <v>94.5</v>
      </c>
      <c r="G11" s="42">
        <v>18900</v>
      </c>
      <c r="H11" s="42">
        <v>32130</v>
      </c>
      <c r="I11" s="42">
        <v>4819.5</v>
      </c>
      <c r="J11" s="42">
        <v>6426</v>
      </c>
      <c r="K11" s="42">
        <v>8032.5</v>
      </c>
      <c r="L11" s="42">
        <v>9639</v>
      </c>
      <c r="M11" s="42">
        <v>28917</v>
      </c>
      <c r="N11" s="42">
        <v>3213</v>
      </c>
      <c r="O11" s="42">
        <v>13230</v>
      </c>
      <c r="P11" s="26"/>
      <c r="Q11" s="16"/>
      <c r="R11" s="44" t="s">
        <v>29</v>
      </c>
      <c r="S11" s="47">
        <f>MAX(Project_cost)</f>
        <v>92700</v>
      </c>
      <c r="T11" s="47">
        <f>MAX(Project_profit)</f>
        <v>64890</v>
      </c>
    </row>
    <row r="12" spans="2:21" ht="15" customHeight="1">
      <c r="B12" s="3">
        <v>8</v>
      </c>
      <c r="C12" s="8" t="s">
        <v>18</v>
      </c>
      <c r="D12" s="7">
        <v>42430</v>
      </c>
      <c r="E12" s="7">
        <v>42668.5</v>
      </c>
      <c r="F12" s="8">
        <v>238.5</v>
      </c>
      <c r="G12" s="42">
        <v>47700</v>
      </c>
      <c r="H12" s="42">
        <v>81090</v>
      </c>
      <c r="I12" s="42">
        <v>12163.5</v>
      </c>
      <c r="J12" s="42">
        <v>16218</v>
      </c>
      <c r="K12" s="42">
        <v>20272.5</v>
      </c>
      <c r="L12" s="42">
        <v>24327</v>
      </c>
      <c r="M12" s="42">
        <v>72981</v>
      </c>
      <c r="N12" s="42">
        <v>8109</v>
      </c>
      <c r="O12" s="42">
        <v>33390</v>
      </c>
      <c r="P12" s="25"/>
      <c r="Q12" s="16"/>
      <c r="R12" s="45"/>
      <c r="S12" s="48"/>
      <c r="T12" s="48"/>
    </row>
    <row r="13" spans="2:21" ht="15.75" customHeight="1" thickBot="1">
      <c r="B13" s="3">
        <v>9</v>
      </c>
      <c r="C13" s="8" t="s">
        <v>10</v>
      </c>
      <c r="D13" s="7">
        <v>42290</v>
      </c>
      <c r="E13" s="7">
        <v>42605</v>
      </c>
      <c r="F13" s="8">
        <v>315</v>
      </c>
      <c r="G13" s="42">
        <v>63000</v>
      </c>
      <c r="H13" s="42">
        <v>107100</v>
      </c>
      <c r="I13" s="42">
        <v>16065</v>
      </c>
      <c r="J13" s="42">
        <v>21420</v>
      </c>
      <c r="K13" s="42">
        <v>26775</v>
      </c>
      <c r="L13" s="42">
        <v>32130</v>
      </c>
      <c r="M13" s="42">
        <v>96390</v>
      </c>
      <c r="N13" s="42">
        <v>10710</v>
      </c>
      <c r="O13" s="42">
        <v>44100</v>
      </c>
      <c r="P13" s="25"/>
      <c r="Q13" s="16"/>
      <c r="R13" s="46"/>
      <c r="S13" s="49"/>
      <c r="T13" s="49"/>
    </row>
    <row r="14" spans="2:21" ht="15" customHeight="1">
      <c r="B14" s="3">
        <v>10</v>
      </c>
      <c r="C14" s="8" t="s">
        <v>17</v>
      </c>
      <c r="D14" s="7">
        <v>42384</v>
      </c>
      <c r="E14" s="7">
        <v>42478.5</v>
      </c>
      <c r="F14" s="8">
        <v>94.5</v>
      </c>
      <c r="G14" s="42">
        <v>18900</v>
      </c>
      <c r="H14" s="42">
        <v>32130</v>
      </c>
      <c r="I14" s="42">
        <v>4819.5</v>
      </c>
      <c r="J14" s="42">
        <v>6426</v>
      </c>
      <c r="K14" s="42">
        <v>8032.5</v>
      </c>
      <c r="L14" s="42">
        <v>9639</v>
      </c>
      <c r="M14" s="42">
        <v>28917</v>
      </c>
      <c r="N14" s="42">
        <v>3213</v>
      </c>
      <c r="O14" s="42">
        <v>13230</v>
      </c>
      <c r="P14" s="25"/>
      <c r="Q14" s="16"/>
      <c r="R14" s="44" t="s">
        <v>30</v>
      </c>
      <c r="S14" s="47">
        <f>MIN(Project_cost)</f>
        <v>6300</v>
      </c>
      <c r="T14" s="47">
        <f>MIN(Project_profit)</f>
        <v>4410</v>
      </c>
    </row>
    <row r="15" spans="2:21" ht="15" customHeight="1">
      <c r="B15" s="3">
        <v>11</v>
      </c>
      <c r="C15" s="8" t="s">
        <v>19</v>
      </c>
      <c r="D15" s="7">
        <v>42358</v>
      </c>
      <c r="E15" s="7">
        <v>42398.5</v>
      </c>
      <c r="F15" s="8">
        <v>40.5</v>
      </c>
      <c r="G15" s="42">
        <v>8100</v>
      </c>
      <c r="H15" s="42">
        <v>13770</v>
      </c>
      <c r="I15" s="42">
        <v>2065.5</v>
      </c>
      <c r="J15" s="42">
        <v>2754</v>
      </c>
      <c r="K15" s="42">
        <v>3442.5</v>
      </c>
      <c r="L15" s="42">
        <v>4131</v>
      </c>
      <c r="M15" s="42">
        <v>12393</v>
      </c>
      <c r="N15" s="42">
        <v>1377</v>
      </c>
      <c r="O15" s="42">
        <v>5670</v>
      </c>
      <c r="P15" s="25"/>
      <c r="Q15" s="16"/>
      <c r="R15" s="45"/>
      <c r="S15" s="48"/>
      <c r="T15" s="48"/>
    </row>
    <row r="16" spans="2:21" ht="15.75" customHeight="1" thickBot="1">
      <c r="B16" s="3">
        <v>12</v>
      </c>
      <c r="C16" s="8" t="s">
        <v>20</v>
      </c>
      <c r="D16" s="7">
        <v>42269</v>
      </c>
      <c r="E16" s="7">
        <v>42341</v>
      </c>
      <c r="F16" s="8">
        <v>72</v>
      </c>
      <c r="G16" s="42">
        <v>14400</v>
      </c>
      <c r="H16" s="42">
        <v>24480</v>
      </c>
      <c r="I16" s="42">
        <v>3672</v>
      </c>
      <c r="J16" s="42">
        <v>4896</v>
      </c>
      <c r="K16" s="42">
        <v>6120</v>
      </c>
      <c r="L16" s="42">
        <v>7344</v>
      </c>
      <c r="M16" s="42">
        <v>22032</v>
      </c>
      <c r="N16" s="42">
        <v>2448</v>
      </c>
      <c r="O16" s="42">
        <v>10080</v>
      </c>
      <c r="P16" s="25"/>
      <c r="Q16" s="16"/>
      <c r="R16" s="46"/>
      <c r="S16" s="49"/>
      <c r="T16" s="49"/>
    </row>
    <row r="17" spans="2:16">
      <c r="B17" s="3">
        <v>13</v>
      </c>
      <c r="C17" s="8" t="s">
        <v>21</v>
      </c>
      <c r="D17" s="7">
        <v>42325</v>
      </c>
      <c r="E17" s="7">
        <v>42662.5</v>
      </c>
      <c r="F17" s="8">
        <v>337.5</v>
      </c>
      <c r="G17" s="42">
        <v>67500</v>
      </c>
      <c r="H17" s="42">
        <v>114750</v>
      </c>
      <c r="I17" s="42">
        <v>17212.5</v>
      </c>
      <c r="J17" s="42">
        <v>22950</v>
      </c>
      <c r="K17" s="42">
        <v>28687.5</v>
      </c>
      <c r="L17" s="42">
        <v>34425</v>
      </c>
      <c r="M17" s="42">
        <v>103275</v>
      </c>
      <c r="N17" s="42">
        <v>11475</v>
      </c>
      <c r="O17" s="42">
        <v>47250</v>
      </c>
      <c r="P17" s="25"/>
    </row>
    <row r="18" spans="2:16">
      <c r="B18" s="3">
        <v>14</v>
      </c>
      <c r="C18" s="8" t="s">
        <v>19</v>
      </c>
      <c r="D18" s="7">
        <v>42385</v>
      </c>
      <c r="E18" s="7">
        <v>42425.5</v>
      </c>
      <c r="F18" s="8">
        <v>40.5</v>
      </c>
      <c r="G18" s="42">
        <v>8100</v>
      </c>
      <c r="H18" s="42">
        <v>13770</v>
      </c>
      <c r="I18" s="42">
        <v>2065.5</v>
      </c>
      <c r="J18" s="42">
        <v>2754</v>
      </c>
      <c r="K18" s="42">
        <v>3442.5</v>
      </c>
      <c r="L18" s="42">
        <v>4131</v>
      </c>
      <c r="M18" s="42">
        <v>12393</v>
      </c>
      <c r="N18" s="42">
        <v>1377</v>
      </c>
      <c r="O18" s="42">
        <v>5670</v>
      </c>
      <c r="P18" s="25"/>
    </row>
    <row r="19" spans="2:16">
      <c r="B19" s="3">
        <v>15</v>
      </c>
      <c r="C19" s="8" t="s">
        <v>22</v>
      </c>
      <c r="D19" s="7">
        <v>42391</v>
      </c>
      <c r="E19" s="7">
        <v>42422.5</v>
      </c>
      <c r="F19" s="8">
        <v>31.5</v>
      </c>
      <c r="G19" s="42">
        <v>6300</v>
      </c>
      <c r="H19" s="42">
        <v>10710</v>
      </c>
      <c r="I19" s="42">
        <v>1606.5</v>
      </c>
      <c r="J19" s="42">
        <v>2142</v>
      </c>
      <c r="K19" s="42">
        <v>2677.5</v>
      </c>
      <c r="L19" s="42">
        <v>3213</v>
      </c>
      <c r="M19" s="42">
        <v>9639</v>
      </c>
      <c r="N19" s="42">
        <v>1071</v>
      </c>
      <c r="O19" s="42">
        <v>4410</v>
      </c>
      <c r="P19" s="25"/>
    </row>
    <row r="20" spans="2:16">
      <c r="B20" s="3">
        <v>16</v>
      </c>
      <c r="C20" s="8" t="s">
        <v>16</v>
      </c>
      <c r="D20" s="7">
        <v>42395</v>
      </c>
      <c r="E20" s="7">
        <v>42534.5</v>
      </c>
      <c r="F20" s="8">
        <v>139.5</v>
      </c>
      <c r="G20" s="42">
        <v>27900</v>
      </c>
      <c r="H20" s="42">
        <v>47430</v>
      </c>
      <c r="I20" s="42">
        <v>7114.5</v>
      </c>
      <c r="J20" s="42">
        <v>9486</v>
      </c>
      <c r="K20" s="42">
        <v>11857.5</v>
      </c>
      <c r="L20" s="42">
        <v>14229</v>
      </c>
      <c r="M20" s="42">
        <v>42687</v>
      </c>
      <c r="N20" s="42">
        <v>4743</v>
      </c>
      <c r="O20" s="42">
        <v>19530</v>
      </c>
      <c r="P20" s="25"/>
    </row>
    <row r="21" spans="2:16">
      <c r="B21" s="3">
        <v>17</v>
      </c>
      <c r="C21" s="8" t="s">
        <v>13</v>
      </c>
      <c r="D21" s="7">
        <v>42258</v>
      </c>
      <c r="E21" s="7">
        <v>42721.5</v>
      </c>
      <c r="F21" s="8">
        <v>463.5</v>
      </c>
      <c r="G21" s="42">
        <v>92700</v>
      </c>
      <c r="H21" s="42">
        <v>157590</v>
      </c>
      <c r="I21" s="42">
        <v>23638.5</v>
      </c>
      <c r="J21" s="42">
        <v>31518</v>
      </c>
      <c r="K21" s="42">
        <v>39397.5</v>
      </c>
      <c r="L21" s="42">
        <v>47277</v>
      </c>
      <c r="M21" s="42">
        <v>141831</v>
      </c>
      <c r="N21" s="42">
        <v>15759</v>
      </c>
      <c r="O21" s="42">
        <v>64890</v>
      </c>
      <c r="P21" s="25"/>
    </row>
    <row r="22" spans="2:16">
      <c r="B22" s="3">
        <v>18</v>
      </c>
      <c r="C22" s="8" t="s">
        <v>22</v>
      </c>
      <c r="D22" s="7">
        <v>42415</v>
      </c>
      <c r="E22" s="7">
        <v>42446.5</v>
      </c>
      <c r="F22" s="8">
        <v>31.5</v>
      </c>
      <c r="G22" s="42">
        <v>6300</v>
      </c>
      <c r="H22" s="42">
        <v>10710</v>
      </c>
      <c r="I22" s="42">
        <v>1606.5</v>
      </c>
      <c r="J22" s="42">
        <v>2142</v>
      </c>
      <c r="K22" s="42">
        <v>2677.5</v>
      </c>
      <c r="L22" s="42">
        <v>3213</v>
      </c>
      <c r="M22" s="42">
        <v>9639</v>
      </c>
      <c r="N22" s="42">
        <v>1071</v>
      </c>
      <c r="O22" s="42">
        <v>4410</v>
      </c>
      <c r="P22" s="25"/>
    </row>
    <row r="23" spans="2:16">
      <c r="B23" s="3">
        <v>19</v>
      </c>
      <c r="C23" s="8" t="s">
        <v>13</v>
      </c>
      <c r="D23" s="7">
        <v>42389</v>
      </c>
      <c r="E23" s="7">
        <v>42852.5</v>
      </c>
      <c r="F23" s="8">
        <v>463.5</v>
      </c>
      <c r="G23" s="42">
        <v>92700</v>
      </c>
      <c r="H23" s="42">
        <v>157590</v>
      </c>
      <c r="I23" s="42">
        <v>23638.5</v>
      </c>
      <c r="J23" s="42">
        <v>31518</v>
      </c>
      <c r="K23" s="42">
        <v>39397.5</v>
      </c>
      <c r="L23" s="42">
        <v>47277</v>
      </c>
      <c r="M23" s="42">
        <v>141831</v>
      </c>
      <c r="N23" s="42">
        <v>15759</v>
      </c>
      <c r="O23" s="42">
        <v>64890</v>
      </c>
      <c r="P23" s="25"/>
    </row>
    <row r="24" spans="2:16">
      <c r="B24" s="3">
        <v>20</v>
      </c>
      <c r="C24" s="8" t="s">
        <v>18</v>
      </c>
      <c r="D24" s="7">
        <v>42403</v>
      </c>
      <c r="E24" s="7">
        <v>42641.5</v>
      </c>
      <c r="F24" s="8">
        <v>238.5</v>
      </c>
      <c r="G24" s="42">
        <v>47700</v>
      </c>
      <c r="H24" s="42">
        <v>81090</v>
      </c>
      <c r="I24" s="42">
        <v>12163.5</v>
      </c>
      <c r="J24" s="42">
        <v>16218</v>
      </c>
      <c r="K24" s="42">
        <v>20272.5</v>
      </c>
      <c r="L24" s="42">
        <v>24327</v>
      </c>
      <c r="M24" s="42">
        <v>72981</v>
      </c>
      <c r="N24" s="42">
        <v>8109</v>
      </c>
      <c r="O24" s="42">
        <v>33390</v>
      </c>
      <c r="P24" s="25"/>
    </row>
    <row r="25" spans="2:16">
      <c r="B25" s="3">
        <v>21</v>
      </c>
      <c r="C25" s="8" t="s">
        <v>20</v>
      </c>
      <c r="D25" s="7">
        <v>42311</v>
      </c>
      <c r="E25" s="7">
        <v>42383</v>
      </c>
      <c r="F25" s="8">
        <v>72</v>
      </c>
      <c r="G25" s="42">
        <v>14400</v>
      </c>
      <c r="H25" s="42">
        <v>24480</v>
      </c>
      <c r="I25" s="42">
        <v>3672</v>
      </c>
      <c r="J25" s="42">
        <v>4896</v>
      </c>
      <c r="K25" s="42">
        <v>6120</v>
      </c>
      <c r="L25" s="42">
        <v>7344</v>
      </c>
      <c r="M25" s="42">
        <v>22032</v>
      </c>
      <c r="N25" s="42">
        <v>2448</v>
      </c>
      <c r="O25" s="42">
        <v>10080</v>
      </c>
      <c r="P25" s="25"/>
    </row>
    <row r="26" spans="2:16">
      <c r="B26" s="3">
        <v>22</v>
      </c>
      <c r="C26" s="8" t="s">
        <v>20</v>
      </c>
      <c r="D26" s="7">
        <v>42324</v>
      </c>
      <c r="E26" s="7">
        <v>42396</v>
      </c>
      <c r="F26" s="8">
        <v>72</v>
      </c>
      <c r="G26" s="42">
        <v>14400</v>
      </c>
      <c r="H26" s="42">
        <v>24480</v>
      </c>
      <c r="I26" s="42">
        <v>3672</v>
      </c>
      <c r="J26" s="42">
        <v>4896</v>
      </c>
      <c r="K26" s="42">
        <v>6120</v>
      </c>
      <c r="L26" s="42">
        <v>7344</v>
      </c>
      <c r="M26" s="42">
        <v>22032</v>
      </c>
      <c r="N26" s="42">
        <v>2448</v>
      </c>
      <c r="O26" s="42">
        <v>10080</v>
      </c>
      <c r="P26" s="25"/>
    </row>
    <row r="27" spans="2:16">
      <c r="B27" s="3">
        <v>23</v>
      </c>
      <c r="C27" s="8" t="s">
        <v>18</v>
      </c>
      <c r="D27" s="7">
        <v>42434</v>
      </c>
      <c r="E27" s="7">
        <v>42672.5</v>
      </c>
      <c r="F27" s="8">
        <v>238.5</v>
      </c>
      <c r="G27" s="42">
        <v>47700</v>
      </c>
      <c r="H27" s="42">
        <v>81090</v>
      </c>
      <c r="I27" s="42">
        <v>12163.5</v>
      </c>
      <c r="J27" s="42">
        <v>16218</v>
      </c>
      <c r="K27" s="42">
        <v>20272.5</v>
      </c>
      <c r="L27" s="42">
        <v>24327</v>
      </c>
      <c r="M27" s="42">
        <v>72981</v>
      </c>
      <c r="N27" s="42">
        <v>8109</v>
      </c>
      <c r="O27" s="42">
        <v>33390</v>
      </c>
      <c r="P27" s="25"/>
    </row>
    <row r="28" spans="2:16">
      <c r="B28" s="3">
        <v>24</v>
      </c>
      <c r="C28" s="8" t="s">
        <v>11</v>
      </c>
      <c r="D28" s="7">
        <v>42434</v>
      </c>
      <c r="E28" s="7">
        <v>42830</v>
      </c>
      <c r="F28" s="8">
        <v>396</v>
      </c>
      <c r="G28" s="42">
        <v>79200</v>
      </c>
      <c r="H28" s="42">
        <v>134640</v>
      </c>
      <c r="I28" s="42">
        <v>20196</v>
      </c>
      <c r="J28" s="42">
        <v>26928</v>
      </c>
      <c r="K28" s="42">
        <v>33660</v>
      </c>
      <c r="L28" s="42">
        <v>40392</v>
      </c>
      <c r="M28" s="42">
        <v>121176</v>
      </c>
      <c r="N28" s="42">
        <v>13464</v>
      </c>
      <c r="O28" s="42">
        <v>55440</v>
      </c>
      <c r="P28" s="25"/>
    </row>
    <row r="29" spans="2:16">
      <c r="B29" s="3">
        <v>25</v>
      </c>
      <c r="C29" s="8" t="s">
        <v>23</v>
      </c>
      <c r="D29" s="7">
        <v>42354</v>
      </c>
      <c r="E29" s="7">
        <v>42399</v>
      </c>
      <c r="F29" s="8">
        <v>45</v>
      </c>
      <c r="G29" s="42">
        <v>9000</v>
      </c>
      <c r="H29" s="42">
        <v>15300</v>
      </c>
      <c r="I29" s="42">
        <v>2295</v>
      </c>
      <c r="J29" s="42">
        <v>3060</v>
      </c>
      <c r="K29" s="42">
        <v>3825</v>
      </c>
      <c r="L29" s="42">
        <v>4590</v>
      </c>
      <c r="M29" s="42">
        <v>13770</v>
      </c>
      <c r="N29" s="42">
        <v>1530</v>
      </c>
      <c r="O29" s="42">
        <v>6300</v>
      </c>
      <c r="P29" s="25"/>
    </row>
    <row r="30" spans="2:16">
      <c r="B30" s="3">
        <v>26</v>
      </c>
      <c r="C30" s="8" t="s">
        <v>21</v>
      </c>
      <c r="D30" s="7">
        <v>42277</v>
      </c>
      <c r="E30" s="7">
        <v>42614.5</v>
      </c>
      <c r="F30" s="8">
        <v>337.5</v>
      </c>
      <c r="G30" s="42">
        <v>67500</v>
      </c>
      <c r="H30" s="42">
        <v>114750</v>
      </c>
      <c r="I30" s="42">
        <v>17212.5</v>
      </c>
      <c r="J30" s="42">
        <v>22950</v>
      </c>
      <c r="K30" s="42">
        <v>28687.5</v>
      </c>
      <c r="L30" s="42">
        <v>34425</v>
      </c>
      <c r="M30" s="42">
        <v>103275</v>
      </c>
      <c r="N30" s="42">
        <v>11475</v>
      </c>
      <c r="O30" s="42">
        <v>47250</v>
      </c>
      <c r="P30" s="25"/>
    </row>
    <row r="31" spans="2:16">
      <c r="B31" s="3">
        <v>27</v>
      </c>
      <c r="C31" s="8" t="s">
        <v>12</v>
      </c>
      <c r="D31" s="7">
        <v>42382</v>
      </c>
      <c r="E31" s="7">
        <v>42814</v>
      </c>
      <c r="F31" s="8">
        <v>432</v>
      </c>
      <c r="G31" s="42">
        <v>86400</v>
      </c>
      <c r="H31" s="42">
        <v>146880</v>
      </c>
      <c r="I31" s="42">
        <v>22032</v>
      </c>
      <c r="J31" s="42">
        <v>29376</v>
      </c>
      <c r="K31" s="42">
        <v>36720</v>
      </c>
      <c r="L31" s="42">
        <v>44064</v>
      </c>
      <c r="M31" s="42">
        <v>132192</v>
      </c>
      <c r="N31" s="42">
        <v>14688</v>
      </c>
      <c r="O31" s="42">
        <v>60480</v>
      </c>
      <c r="P31" s="25"/>
    </row>
    <row r="32" spans="2:16">
      <c r="B32" s="3">
        <v>28</v>
      </c>
      <c r="C32" s="8" t="s">
        <v>13</v>
      </c>
      <c r="D32" s="7">
        <v>42440</v>
      </c>
      <c r="E32" s="7">
        <v>42903.5</v>
      </c>
      <c r="F32" s="8">
        <v>463.5</v>
      </c>
      <c r="G32" s="42">
        <v>92700</v>
      </c>
      <c r="H32" s="42">
        <v>157590</v>
      </c>
      <c r="I32" s="42">
        <v>23638.5</v>
      </c>
      <c r="J32" s="42">
        <v>31518</v>
      </c>
      <c r="K32" s="42">
        <v>39397.5</v>
      </c>
      <c r="L32" s="42">
        <v>47277</v>
      </c>
      <c r="M32" s="42">
        <v>141831</v>
      </c>
      <c r="N32" s="42">
        <v>15759</v>
      </c>
      <c r="O32" s="42">
        <v>64890</v>
      </c>
      <c r="P32" s="25"/>
    </row>
    <row r="33" spans="2:16">
      <c r="B33" s="3">
        <v>29</v>
      </c>
      <c r="C33" s="8" t="s">
        <v>16</v>
      </c>
      <c r="D33" s="7">
        <v>42299</v>
      </c>
      <c r="E33" s="7">
        <v>42438.5</v>
      </c>
      <c r="F33" s="8">
        <v>139.5</v>
      </c>
      <c r="G33" s="42">
        <v>27900</v>
      </c>
      <c r="H33" s="42">
        <v>47430</v>
      </c>
      <c r="I33" s="42">
        <v>7114.5</v>
      </c>
      <c r="J33" s="42">
        <v>9486</v>
      </c>
      <c r="K33" s="42">
        <v>11857.5</v>
      </c>
      <c r="L33" s="42">
        <v>14229</v>
      </c>
      <c r="M33" s="42">
        <v>42687</v>
      </c>
      <c r="N33" s="42">
        <v>4743</v>
      </c>
      <c r="O33" s="42">
        <v>19530</v>
      </c>
      <c r="P33" s="25"/>
    </row>
    <row r="34" spans="2:16">
      <c r="B34" s="3">
        <v>30</v>
      </c>
      <c r="C34" s="8" t="s">
        <v>23</v>
      </c>
      <c r="D34" s="7">
        <v>42291</v>
      </c>
      <c r="E34" s="7">
        <v>42336</v>
      </c>
      <c r="F34" s="8">
        <v>45</v>
      </c>
      <c r="G34" s="42">
        <v>9000</v>
      </c>
      <c r="H34" s="42">
        <v>15300</v>
      </c>
      <c r="I34" s="42">
        <v>2295</v>
      </c>
      <c r="J34" s="42">
        <v>3060</v>
      </c>
      <c r="K34" s="42">
        <v>3825</v>
      </c>
      <c r="L34" s="42">
        <v>4590</v>
      </c>
      <c r="M34" s="42">
        <v>13770</v>
      </c>
      <c r="N34" s="42">
        <v>1530</v>
      </c>
      <c r="O34" s="42">
        <v>6300</v>
      </c>
      <c r="P34" s="25"/>
    </row>
    <row r="35" spans="2:16">
      <c r="B35" s="3">
        <v>31</v>
      </c>
      <c r="C35" s="8" t="s">
        <v>14</v>
      </c>
      <c r="D35" s="7">
        <v>42290</v>
      </c>
      <c r="E35" s="7">
        <v>42479</v>
      </c>
      <c r="F35" s="8">
        <v>189</v>
      </c>
      <c r="G35" s="42">
        <v>37800</v>
      </c>
      <c r="H35" s="42">
        <v>64260</v>
      </c>
      <c r="I35" s="42">
        <v>9639</v>
      </c>
      <c r="J35" s="42">
        <v>12852</v>
      </c>
      <c r="K35" s="42">
        <v>16065</v>
      </c>
      <c r="L35" s="42">
        <v>19278</v>
      </c>
      <c r="M35" s="42">
        <v>57834</v>
      </c>
      <c r="N35" s="42">
        <v>6426</v>
      </c>
      <c r="O35" s="42">
        <v>26460</v>
      </c>
      <c r="P35" s="25"/>
    </row>
    <row r="36" spans="2:16">
      <c r="B36" s="3">
        <v>32</v>
      </c>
      <c r="C36" s="8" t="s">
        <v>16</v>
      </c>
      <c r="D36" s="7">
        <v>42269</v>
      </c>
      <c r="E36" s="7">
        <v>42408.5</v>
      </c>
      <c r="F36" s="8">
        <v>139.5</v>
      </c>
      <c r="G36" s="42">
        <v>27900</v>
      </c>
      <c r="H36" s="42">
        <v>47430</v>
      </c>
      <c r="I36" s="42">
        <v>7114.5</v>
      </c>
      <c r="J36" s="42">
        <v>9486</v>
      </c>
      <c r="K36" s="42">
        <v>11857.5</v>
      </c>
      <c r="L36" s="42">
        <v>14229</v>
      </c>
      <c r="M36" s="42">
        <v>42687</v>
      </c>
      <c r="N36" s="42">
        <v>4743</v>
      </c>
      <c r="O36" s="42">
        <v>19530</v>
      </c>
      <c r="P36" s="25"/>
    </row>
    <row r="37" spans="2:16">
      <c r="B37" s="3">
        <v>33</v>
      </c>
      <c r="C37" s="8" t="s">
        <v>14</v>
      </c>
      <c r="D37" s="7">
        <v>42358</v>
      </c>
      <c r="E37" s="7">
        <v>42547</v>
      </c>
      <c r="F37" s="8">
        <v>189</v>
      </c>
      <c r="G37" s="42">
        <v>37800</v>
      </c>
      <c r="H37" s="42">
        <v>64260</v>
      </c>
      <c r="I37" s="42">
        <v>9639</v>
      </c>
      <c r="J37" s="42">
        <v>12852</v>
      </c>
      <c r="K37" s="42">
        <v>16065</v>
      </c>
      <c r="L37" s="42">
        <v>19278</v>
      </c>
      <c r="M37" s="42">
        <v>57834</v>
      </c>
      <c r="N37" s="42">
        <v>6426</v>
      </c>
      <c r="O37" s="42">
        <v>26460</v>
      </c>
      <c r="P37" s="25"/>
    </row>
    <row r="38" spans="2:16">
      <c r="B38" s="3">
        <v>34</v>
      </c>
      <c r="C38" s="8" t="s">
        <v>12</v>
      </c>
      <c r="D38" s="7">
        <v>42369</v>
      </c>
      <c r="E38" s="7">
        <v>42801</v>
      </c>
      <c r="F38" s="8">
        <v>432</v>
      </c>
      <c r="G38" s="42">
        <v>86400</v>
      </c>
      <c r="H38" s="42">
        <v>146880</v>
      </c>
      <c r="I38" s="42">
        <v>22032</v>
      </c>
      <c r="J38" s="42">
        <v>29376</v>
      </c>
      <c r="K38" s="42">
        <v>36720</v>
      </c>
      <c r="L38" s="42">
        <v>44064</v>
      </c>
      <c r="M38" s="42">
        <v>132192</v>
      </c>
      <c r="N38" s="42">
        <v>14688</v>
      </c>
      <c r="O38" s="42">
        <v>60480</v>
      </c>
      <c r="P38" s="25"/>
    </row>
    <row r="39" spans="2:16">
      <c r="B39" s="3">
        <v>35</v>
      </c>
      <c r="C39" s="8" t="s">
        <v>22</v>
      </c>
      <c r="D39" s="7">
        <v>42264</v>
      </c>
      <c r="E39" s="7">
        <v>42295.5</v>
      </c>
      <c r="F39" s="8">
        <v>31.5</v>
      </c>
      <c r="G39" s="42">
        <v>6300</v>
      </c>
      <c r="H39" s="42">
        <v>10710</v>
      </c>
      <c r="I39" s="42">
        <v>1606.5</v>
      </c>
      <c r="J39" s="42">
        <v>2142</v>
      </c>
      <c r="K39" s="42">
        <v>2677.5</v>
      </c>
      <c r="L39" s="42">
        <v>3213</v>
      </c>
      <c r="M39" s="42">
        <v>9639</v>
      </c>
      <c r="N39" s="42">
        <v>1071</v>
      </c>
      <c r="O39" s="42">
        <v>4410</v>
      </c>
      <c r="P39" s="25"/>
    </row>
    <row r="40" spans="2:16">
      <c r="B40" s="3">
        <v>36</v>
      </c>
      <c r="C40" s="8" t="s">
        <v>11</v>
      </c>
      <c r="D40" s="7">
        <v>42319</v>
      </c>
      <c r="E40" s="7">
        <v>42715</v>
      </c>
      <c r="F40" s="8">
        <v>396</v>
      </c>
      <c r="G40" s="42">
        <v>79200</v>
      </c>
      <c r="H40" s="42">
        <v>134640</v>
      </c>
      <c r="I40" s="42">
        <v>20196</v>
      </c>
      <c r="J40" s="42">
        <v>26928</v>
      </c>
      <c r="K40" s="42">
        <v>33660</v>
      </c>
      <c r="L40" s="42">
        <v>40392</v>
      </c>
      <c r="M40" s="42">
        <v>121176</v>
      </c>
      <c r="N40" s="42">
        <v>13464</v>
      </c>
      <c r="O40" s="42">
        <v>55440</v>
      </c>
      <c r="P40" s="25"/>
    </row>
    <row r="41" spans="2:16">
      <c r="B41" s="3">
        <v>37</v>
      </c>
      <c r="C41" s="8" t="s">
        <v>19</v>
      </c>
      <c r="D41" s="7">
        <v>42399</v>
      </c>
      <c r="E41" s="7">
        <v>42439.5</v>
      </c>
      <c r="F41" s="8">
        <v>40.5</v>
      </c>
      <c r="G41" s="42">
        <v>8100</v>
      </c>
      <c r="H41" s="42">
        <v>13770</v>
      </c>
      <c r="I41" s="42">
        <v>2065.5</v>
      </c>
      <c r="J41" s="42">
        <v>2754</v>
      </c>
      <c r="K41" s="42">
        <v>3442.5</v>
      </c>
      <c r="L41" s="42">
        <v>4131</v>
      </c>
      <c r="M41" s="42">
        <v>12393</v>
      </c>
      <c r="N41" s="42">
        <v>1377</v>
      </c>
      <c r="O41" s="42">
        <v>5670</v>
      </c>
      <c r="P41" s="25"/>
    </row>
    <row r="42" spans="2:16">
      <c r="B42" s="3">
        <v>38</v>
      </c>
      <c r="C42" s="8" t="s">
        <v>19</v>
      </c>
      <c r="D42" s="7">
        <v>42275</v>
      </c>
      <c r="E42" s="7">
        <v>42315.5</v>
      </c>
      <c r="F42" s="8">
        <v>40.5</v>
      </c>
      <c r="G42" s="42">
        <v>8100</v>
      </c>
      <c r="H42" s="42">
        <v>13770</v>
      </c>
      <c r="I42" s="42">
        <v>2065.5</v>
      </c>
      <c r="J42" s="42">
        <v>2754</v>
      </c>
      <c r="K42" s="42">
        <v>3442.5</v>
      </c>
      <c r="L42" s="42">
        <v>4131</v>
      </c>
      <c r="M42" s="42">
        <v>12393</v>
      </c>
      <c r="N42" s="42">
        <v>1377</v>
      </c>
      <c r="O42" s="42">
        <v>5670</v>
      </c>
      <c r="P42" s="25"/>
    </row>
    <row r="43" spans="2:16">
      <c r="B43" s="3">
        <v>39</v>
      </c>
      <c r="C43" s="8" t="s">
        <v>9</v>
      </c>
      <c r="D43" s="7">
        <v>42377</v>
      </c>
      <c r="E43" s="7">
        <v>42651.5</v>
      </c>
      <c r="F43" s="8">
        <v>274.5</v>
      </c>
      <c r="G43" s="42">
        <v>54900</v>
      </c>
      <c r="H43" s="42">
        <v>93330</v>
      </c>
      <c r="I43" s="42">
        <v>13999.5</v>
      </c>
      <c r="J43" s="42">
        <v>18666</v>
      </c>
      <c r="K43" s="42">
        <v>23332.5</v>
      </c>
      <c r="L43" s="42">
        <v>27999</v>
      </c>
      <c r="M43" s="42">
        <v>83997</v>
      </c>
      <c r="N43" s="42">
        <v>9333</v>
      </c>
      <c r="O43" s="42">
        <v>38430</v>
      </c>
      <c r="P43" s="25"/>
    </row>
    <row r="44" spans="2:16">
      <c r="B44" s="3">
        <v>40</v>
      </c>
      <c r="C44" s="8" t="s">
        <v>22</v>
      </c>
      <c r="D44" s="7">
        <v>42380</v>
      </c>
      <c r="E44" s="7">
        <v>42411.5</v>
      </c>
      <c r="F44" s="8">
        <v>31.5</v>
      </c>
      <c r="G44" s="42">
        <v>6300</v>
      </c>
      <c r="H44" s="42">
        <v>10710</v>
      </c>
      <c r="I44" s="42">
        <v>1606.5</v>
      </c>
      <c r="J44" s="42">
        <v>2142</v>
      </c>
      <c r="K44" s="42">
        <v>2677.5</v>
      </c>
      <c r="L44" s="42">
        <v>3213</v>
      </c>
      <c r="M44" s="42">
        <v>9639</v>
      </c>
      <c r="N44" s="42">
        <v>1071</v>
      </c>
      <c r="O44" s="42">
        <v>4410</v>
      </c>
      <c r="P44" s="25"/>
    </row>
    <row r="45" spans="2:16">
      <c r="B45" s="3">
        <v>41</v>
      </c>
      <c r="C45" s="8" t="s">
        <v>10</v>
      </c>
      <c r="D45" s="7">
        <v>42415</v>
      </c>
      <c r="E45" s="7">
        <v>42730</v>
      </c>
      <c r="F45" s="8">
        <v>315</v>
      </c>
      <c r="G45" s="42">
        <v>63000</v>
      </c>
      <c r="H45" s="42">
        <v>107100</v>
      </c>
      <c r="I45" s="42">
        <v>16065</v>
      </c>
      <c r="J45" s="42">
        <v>21420</v>
      </c>
      <c r="K45" s="42">
        <v>26775</v>
      </c>
      <c r="L45" s="42">
        <v>32130</v>
      </c>
      <c r="M45" s="42">
        <v>96390</v>
      </c>
      <c r="N45" s="42">
        <v>10710</v>
      </c>
      <c r="O45" s="42">
        <v>44100</v>
      </c>
      <c r="P45" s="25"/>
    </row>
    <row r="46" spans="2:16">
      <c r="B46" s="3">
        <v>42</v>
      </c>
      <c r="C46" s="8" t="s">
        <v>19</v>
      </c>
      <c r="D46" s="7">
        <v>42358</v>
      </c>
      <c r="E46" s="7">
        <v>42398.5</v>
      </c>
      <c r="F46" s="8">
        <v>40.5</v>
      </c>
      <c r="G46" s="42">
        <v>8100</v>
      </c>
      <c r="H46" s="42">
        <v>13770</v>
      </c>
      <c r="I46" s="42">
        <v>2065.5</v>
      </c>
      <c r="J46" s="42">
        <v>2754</v>
      </c>
      <c r="K46" s="42">
        <v>3442.5</v>
      </c>
      <c r="L46" s="42">
        <v>4131</v>
      </c>
      <c r="M46" s="42">
        <v>12393</v>
      </c>
      <c r="N46" s="42">
        <v>1377</v>
      </c>
      <c r="O46" s="42">
        <v>5670</v>
      </c>
      <c r="P46" s="25"/>
    </row>
    <row r="47" spans="2:16">
      <c r="B47" s="3">
        <v>43</v>
      </c>
      <c r="C47" s="8" t="s">
        <v>21</v>
      </c>
      <c r="D47" s="7">
        <v>42445</v>
      </c>
      <c r="E47" s="7">
        <v>42782.5</v>
      </c>
      <c r="F47" s="8">
        <v>337.5</v>
      </c>
      <c r="G47" s="42">
        <v>67500</v>
      </c>
      <c r="H47" s="42">
        <v>114750</v>
      </c>
      <c r="I47" s="42">
        <v>17212.5</v>
      </c>
      <c r="J47" s="42">
        <v>22950</v>
      </c>
      <c r="K47" s="42">
        <v>28687.5</v>
      </c>
      <c r="L47" s="42">
        <v>34425</v>
      </c>
      <c r="M47" s="42">
        <v>103275</v>
      </c>
      <c r="N47" s="42">
        <v>11475</v>
      </c>
      <c r="O47" s="42">
        <v>47250</v>
      </c>
      <c r="P47" s="25"/>
    </row>
    <row r="48" spans="2:16">
      <c r="B48" s="3">
        <v>44</v>
      </c>
      <c r="C48" s="8" t="s">
        <v>14</v>
      </c>
      <c r="D48" s="7">
        <v>42375</v>
      </c>
      <c r="E48" s="7">
        <v>42564</v>
      </c>
      <c r="F48" s="8">
        <v>189</v>
      </c>
      <c r="G48" s="42">
        <v>37800</v>
      </c>
      <c r="H48" s="42">
        <v>64260</v>
      </c>
      <c r="I48" s="42">
        <v>9639</v>
      </c>
      <c r="J48" s="42">
        <v>12852</v>
      </c>
      <c r="K48" s="42">
        <v>16065</v>
      </c>
      <c r="L48" s="42">
        <v>19278</v>
      </c>
      <c r="M48" s="42">
        <v>57834</v>
      </c>
      <c r="N48" s="42">
        <v>6426</v>
      </c>
      <c r="O48" s="42">
        <v>26460</v>
      </c>
      <c r="P48" s="25"/>
    </row>
    <row r="49" spans="2:16">
      <c r="B49" s="3">
        <v>45</v>
      </c>
      <c r="C49" s="8" t="s">
        <v>10</v>
      </c>
      <c r="D49" s="7">
        <v>42291</v>
      </c>
      <c r="E49" s="7">
        <v>42606</v>
      </c>
      <c r="F49" s="8">
        <v>315</v>
      </c>
      <c r="G49" s="42">
        <v>63000</v>
      </c>
      <c r="H49" s="42">
        <v>107100</v>
      </c>
      <c r="I49" s="42">
        <v>16065</v>
      </c>
      <c r="J49" s="42">
        <v>21420</v>
      </c>
      <c r="K49" s="42">
        <v>26775</v>
      </c>
      <c r="L49" s="42">
        <v>32130</v>
      </c>
      <c r="M49" s="42">
        <v>96390</v>
      </c>
      <c r="N49" s="42">
        <v>10710</v>
      </c>
      <c r="O49" s="42">
        <v>44100</v>
      </c>
      <c r="P49" s="25"/>
    </row>
    <row r="50" spans="2:16">
      <c r="B50" s="3">
        <v>46</v>
      </c>
      <c r="C50" s="8" t="s">
        <v>9</v>
      </c>
      <c r="D50" s="7">
        <v>42324</v>
      </c>
      <c r="E50" s="7">
        <v>42598.5</v>
      </c>
      <c r="F50" s="8">
        <v>274.5</v>
      </c>
      <c r="G50" s="42">
        <v>54900</v>
      </c>
      <c r="H50" s="42">
        <v>93330</v>
      </c>
      <c r="I50" s="42">
        <v>13999.5</v>
      </c>
      <c r="J50" s="42">
        <v>18666</v>
      </c>
      <c r="K50" s="42">
        <v>23332.5</v>
      </c>
      <c r="L50" s="42">
        <v>27999</v>
      </c>
      <c r="M50" s="42">
        <v>83997</v>
      </c>
      <c r="N50" s="42">
        <v>9333</v>
      </c>
      <c r="O50" s="42">
        <v>38430</v>
      </c>
      <c r="P50" s="25"/>
    </row>
    <row r="51" spans="2:16">
      <c r="B51" s="3">
        <v>47</v>
      </c>
      <c r="C51" s="8" t="s">
        <v>23</v>
      </c>
      <c r="D51" s="7">
        <v>42439</v>
      </c>
      <c r="E51" s="7">
        <v>42484</v>
      </c>
      <c r="F51" s="8">
        <v>45</v>
      </c>
      <c r="G51" s="42">
        <v>9000</v>
      </c>
      <c r="H51" s="42">
        <v>15300</v>
      </c>
      <c r="I51" s="42">
        <v>2295</v>
      </c>
      <c r="J51" s="42">
        <v>3060</v>
      </c>
      <c r="K51" s="42">
        <v>3825</v>
      </c>
      <c r="L51" s="42">
        <v>4590</v>
      </c>
      <c r="M51" s="42">
        <v>13770</v>
      </c>
      <c r="N51" s="42">
        <v>1530</v>
      </c>
      <c r="O51" s="42">
        <v>6300</v>
      </c>
      <c r="P51" s="25"/>
    </row>
    <row r="52" spans="2:16">
      <c r="B52" s="3">
        <v>48</v>
      </c>
      <c r="C52" s="8" t="s">
        <v>19</v>
      </c>
      <c r="D52" s="7">
        <v>42263</v>
      </c>
      <c r="E52" s="7">
        <v>42303.5</v>
      </c>
      <c r="F52" s="8">
        <v>40.5</v>
      </c>
      <c r="G52" s="42">
        <v>8100</v>
      </c>
      <c r="H52" s="42">
        <v>13770</v>
      </c>
      <c r="I52" s="42">
        <v>2065.5</v>
      </c>
      <c r="J52" s="42">
        <v>2754</v>
      </c>
      <c r="K52" s="42">
        <v>3442.5</v>
      </c>
      <c r="L52" s="42">
        <v>4131</v>
      </c>
      <c r="M52" s="42">
        <v>12393</v>
      </c>
      <c r="N52" s="42">
        <v>1377</v>
      </c>
      <c r="O52" s="42">
        <v>5670</v>
      </c>
      <c r="P52" s="25"/>
    </row>
    <row r="53" spans="2:16">
      <c r="B53" s="3">
        <v>49</v>
      </c>
      <c r="C53" s="8" t="s">
        <v>21</v>
      </c>
      <c r="D53" s="7">
        <v>42343</v>
      </c>
      <c r="E53" s="7">
        <v>42680.5</v>
      </c>
      <c r="F53" s="8">
        <v>337.5</v>
      </c>
      <c r="G53" s="42">
        <v>67500</v>
      </c>
      <c r="H53" s="42">
        <v>114750</v>
      </c>
      <c r="I53" s="42">
        <v>17212.5</v>
      </c>
      <c r="J53" s="42">
        <v>22950</v>
      </c>
      <c r="K53" s="42">
        <v>28687.5</v>
      </c>
      <c r="L53" s="42">
        <v>34425</v>
      </c>
      <c r="M53" s="42">
        <v>103275</v>
      </c>
      <c r="N53" s="42">
        <v>11475</v>
      </c>
      <c r="O53" s="42">
        <v>47250</v>
      </c>
      <c r="P53" s="25"/>
    </row>
    <row r="54" spans="2:16">
      <c r="B54" s="3">
        <v>50</v>
      </c>
      <c r="C54" s="8" t="s">
        <v>9</v>
      </c>
      <c r="D54" s="7">
        <v>42398</v>
      </c>
      <c r="E54" s="7">
        <v>42672.5</v>
      </c>
      <c r="F54" s="8">
        <v>274.5</v>
      </c>
      <c r="G54" s="42">
        <v>54900</v>
      </c>
      <c r="H54" s="42">
        <v>93330</v>
      </c>
      <c r="I54" s="42">
        <v>13999.5</v>
      </c>
      <c r="J54" s="42">
        <v>18666</v>
      </c>
      <c r="K54" s="42">
        <v>23332.5</v>
      </c>
      <c r="L54" s="42">
        <v>27999</v>
      </c>
      <c r="M54" s="42">
        <v>83997</v>
      </c>
      <c r="N54" s="42">
        <v>9333</v>
      </c>
      <c r="O54" s="42">
        <v>38430</v>
      </c>
      <c r="P54" s="25"/>
    </row>
    <row r="55" spans="2:16">
      <c r="B55" s="3">
        <v>51</v>
      </c>
      <c r="C55" s="8" t="s">
        <v>20</v>
      </c>
      <c r="D55" s="7">
        <v>42367</v>
      </c>
      <c r="E55" s="7">
        <v>42439</v>
      </c>
      <c r="F55" s="8">
        <v>72</v>
      </c>
      <c r="G55" s="42">
        <v>14400</v>
      </c>
      <c r="H55" s="42">
        <v>24480</v>
      </c>
      <c r="I55" s="42">
        <v>3672</v>
      </c>
      <c r="J55" s="42">
        <v>4896</v>
      </c>
      <c r="K55" s="42">
        <v>6120</v>
      </c>
      <c r="L55" s="42">
        <v>7344</v>
      </c>
      <c r="M55" s="42">
        <v>22032</v>
      </c>
      <c r="N55" s="42">
        <v>2448</v>
      </c>
      <c r="O55" s="42">
        <v>10080</v>
      </c>
      <c r="P55" s="25"/>
    </row>
    <row r="56" spans="2:16">
      <c r="B56" s="3">
        <v>52</v>
      </c>
      <c r="C56" s="8" t="s">
        <v>19</v>
      </c>
      <c r="D56" s="7">
        <v>42292</v>
      </c>
      <c r="E56" s="7">
        <v>42332.5</v>
      </c>
      <c r="F56" s="8">
        <v>40.5</v>
      </c>
      <c r="G56" s="42">
        <v>8100</v>
      </c>
      <c r="H56" s="42">
        <v>13770</v>
      </c>
      <c r="I56" s="42">
        <v>2065.5</v>
      </c>
      <c r="J56" s="42">
        <v>2754</v>
      </c>
      <c r="K56" s="42">
        <v>3442.5</v>
      </c>
      <c r="L56" s="42">
        <v>4131</v>
      </c>
      <c r="M56" s="42">
        <v>12393</v>
      </c>
      <c r="N56" s="42">
        <v>1377</v>
      </c>
      <c r="O56" s="42">
        <v>5670</v>
      </c>
      <c r="P56" s="25"/>
    </row>
    <row r="57" spans="2:16">
      <c r="B57" s="3">
        <v>53</v>
      </c>
      <c r="C57" s="8" t="s">
        <v>23</v>
      </c>
      <c r="D57" s="7">
        <v>42437</v>
      </c>
      <c r="E57" s="7">
        <v>42482</v>
      </c>
      <c r="F57" s="8">
        <v>45</v>
      </c>
      <c r="G57" s="42">
        <v>9000</v>
      </c>
      <c r="H57" s="42">
        <v>15300</v>
      </c>
      <c r="I57" s="42">
        <v>2295</v>
      </c>
      <c r="J57" s="42">
        <v>3060</v>
      </c>
      <c r="K57" s="42">
        <v>3825</v>
      </c>
      <c r="L57" s="42">
        <v>4590</v>
      </c>
      <c r="M57" s="42">
        <v>13770</v>
      </c>
      <c r="N57" s="42">
        <v>1530</v>
      </c>
      <c r="O57" s="42">
        <v>6300</v>
      </c>
      <c r="P57" s="25"/>
    </row>
    <row r="58" spans="2:16">
      <c r="B58" s="3">
        <v>54</v>
      </c>
      <c r="C58" s="8" t="s">
        <v>17</v>
      </c>
      <c r="D58" s="7">
        <v>42319</v>
      </c>
      <c r="E58" s="7">
        <v>42413.5</v>
      </c>
      <c r="F58" s="8">
        <v>94.5</v>
      </c>
      <c r="G58" s="42">
        <v>18900</v>
      </c>
      <c r="H58" s="42">
        <v>32130</v>
      </c>
      <c r="I58" s="42">
        <v>4819.5</v>
      </c>
      <c r="J58" s="42">
        <v>6426</v>
      </c>
      <c r="K58" s="42">
        <v>8032.5</v>
      </c>
      <c r="L58" s="42">
        <v>9639</v>
      </c>
      <c r="M58" s="42">
        <v>28917</v>
      </c>
      <c r="N58" s="42">
        <v>3213</v>
      </c>
      <c r="O58" s="42">
        <v>13230</v>
      </c>
      <c r="P58" s="25"/>
    </row>
    <row r="59" spans="2:16">
      <c r="B59" s="3">
        <v>55</v>
      </c>
      <c r="C59" s="8" t="s">
        <v>18</v>
      </c>
      <c r="D59" s="7">
        <v>42248</v>
      </c>
      <c r="E59" s="7">
        <v>42486.5</v>
      </c>
      <c r="F59" s="8">
        <v>238.5</v>
      </c>
      <c r="G59" s="42">
        <v>47700</v>
      </c>
      <c r="H59" s="42">
        <v>81090</v>
      </c>
      <c r="I59" s="42">
        <v>12163.5</v>
      </c>
      <c r="J59" s="42">
        <v>16218</v>
      </c>
      <c r="K59" s="42">
        <v>20272.5</v>
      </c>
      <c r="L59" s="42">
        <v>24327</v>
      </c>
      <c r="M59" s="42">
        <v>72981</v>
      </c>
      <c r="N59" s="42">
        <v>8109</v>
      </c>
      <c r="O59" s="42">
        <v>33390</v>
      </c>
      <c r="P59" s="25"/>
    </row>
    <row r="60" spans="2:16">
      <c r="B60" s="3">
        <v>56</v>
      </c>
      <c r="C60" s="8" t="s">
        <v>19</v>
      </c>
      <c r="D60" s="7">
        <v>42248</v>
      </c>
      <c r="E60" s="7">
        <v>42288.5</v>
      </c>
      <c r="F60" s="8">
        <v>40.5</v>
      </c>
      <c r="G60" s="42">
        <v>8100</v>
      </c>
      <c r="H60" s="42">
        <v>13770</v>
      </c>
      <c r="I60" s="42">
        <v>2065.5</v>
      </c>
      <c r="J60" s="42">
        <v>2754</v>
      </c>
      <c r="K60" s="42">
        <v>3442.5</v>
      </c>
      <c r="L60" s="42">
        <v>4131</v>
      </c>
      <c r="M60" s="42">
        <v>12393</v>
      </c>
      <c r="N60" s="42">
        <v>1377</v>
      </c>
      <c r="O60" s="42">
        <v>5670</v>
      </c>
      <c r="P60" s="25"/>
    </row>
    <row r="61" spans="2:16">
      <c r="B61" s="3">
        <v>57</v>
      </c>
      <c r="C61" s="8" t="s">
        <v>9</v>
      </c>
      <c r="D61" s="7">
        <v>42248</v>
      </c>
      <c r="E61" s="7">
        <v>42522.5</v>
      </c>
      <c r="F61" s="8">
        <v>274.5</v>
      </c>
      <c r="G61" s="42">
        <v>54900</v>
      </c>
      <c r="H61" s="42">
        <v>93330</v>
      </c>
      <c r="I61" s="42">
        <v>13999.5</v>
      </c>
      <c r="J61" s="42">
        <v>18666</v>
      </c>
      <c r="K61" s="42">
        <v>23332.5</v>
      </c>
      <c r="L61" s="42">
        <v>27999</v>
      </c>
      <c r="M61" s="42">
        <v>83997</v>
      </c>
      <c r="N61" s="42">
        <v>9333</v>
      </c>
      <c r="O61" s="42">
        <v>38430</v>
      </c>
      <c r="P61" s="25"/>
    </row>
    <row r="62" spans="2:16">
      <c r="B62" s="3">
        <v>58</v>
      </c>
      <c r="C62" s="8" t="s">
        <v>13</v>
      </c>
      <c r="D62" s="7">
        <v>42248</v>
      </c>
      <c r="E62" s="7">
        <v>42711.5</v>
      </c>
      <c r="F62" s="8">
        <v>463.5</v>
      </c>
      <c r="G62" s="42">
        <v>92700</v>
      </c>
      <c r="H62" s="42">
        <v>157590</v>
      </c>
      <c r="I62" s="42">
        <v>23638.5</v>
      </c>
      <c r="J62" s="42">
        <v>31518</v>
      </c>
      <c r="K62" s="42">
        <v>39397.5</v>
      </c>
      <c r="L62" s="42">
        <v>47277</v>
      </c>
      <c r="M62" s="42">
        <v>141831</v>
      </c>
      <c r="N62" s="42">
        <v>15759</v>
      </c>
      <c r="O62" s="42">
        <v>64890</v>
      </c>
      <c r="P62" s="25"/>
    </row>
    <row r="63" spans="2:16">
      <c r="B63" s="3">
        <v>59</v>
      </c>
      <c r="C63" s="8" t="s">
        <v>11</v>
      </c>
      <c r="D63" s="7">
        <v>42248</v>
      </c>
      <c r="E63" s="7">
        <v>42644</v>
      </c>
      <c r="F63" s="8">
        <v>396</v>
      </c>
      <c r="G63" s="42">
        <v>79200</v>
      </c>
      <c r="H63" s="42">
        <v>134640</v>
      </c>
      <c r="I63" s="42">
        <v>20196</v>
      </c>
      <c r="J63" s="42">
        <v>26928</v>
      </c>
      <c r="K63" s="42">
        <v>33660</v>
      </c>
      <c r="L63" s="42">
        <v>40392</v>
      </c>
      <c r="M63" s="42">
        <v>121176</v>
      </c>
      <c r="N63" s="42">
        <v>13464</v>
      </c>
      <c r="O63" s="42">
        <v>55440</v>
      </c>
      <c r="P63" s="25"/>
    </row>
    <row r="64" spans="2:16">
      <c r="B64" s="3">
        <v>60</v>
      </c>
      <c r="C64" s="8" t="s">
        <v>17</v>
      </c>
      <c r="D64" s="7">
        <v>42248</v>
      </c>
      <c r="E64" s="7">
        <v>42342.5</v>
      </c>
      <c r="F64" s="8">
        <v>94.5</v>
      </c>
      <c r="G64" s="42">
        <v>18900</v>
      </c>
      <c r="H64" s="42">
        <v>32130</v>
      </c>
      <c r="I64" s="42">
        <v>4819.5</v>
      </c>
      <c r="J64" s="42">
        <v>6426</v>
      </c>
      <c r="K64" s="42">
        <v>8032.5</v>
      </c>
      <c r="L64" s="42">
        <v>9639</v>
      </c>
      <c r="M64" s="42">
        <v>28917</v>
      </c>
      <c r="N64" s="42">
        <v>3213</v>
      </c>
      <c r="O64" s="42">
        <v>13230</v>
      </c>
      <c r="P64" s="25"/>
    </row>
  </sheetData>
  <sortState xmlns:xlrd2="http://schemas.microsoft.com/office/spreadsheetml/2017/richdata2" ref="C5:D64">
    <sortCondition ref="C5:C64"/>
  </sortState>
  <mergeCells count="13">
    <mergeCell ref="I3:M3"/>
    <mergeCell ref="T5:T7"/>
    <mergeCell ref="R8:R10"/>
    <mergeCell ref="S8:S10"/>
    <mergeCell ref="T8:T10"/>
    <mergeCell ref="R5:R7"/>
    <mergeCell ref="S5:S7"/>
    <mergeCell ref="R11:R13"/>
    <mergeCell ref="S11:S13"/>
    <mergeCell ref="T11:T13"/>
    <mergeCell ref="R14:R16"/>
    <mergeCell ref="S14:S16"/>
    <mergeCell ref="T14:T16"/>
  </mergeCells>
  <pageMargins left="0.7" right="0.7" top="0.75" bottom="0.75" header="0.3" footer="0.3"/>
  <pageSetup paperSize="256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BEF79-FD80-4F5A-91A4-37A025F8CB91}">
  <sheetPr>
    <tabColor rgb="FF0070C0"/>
  </sheetPr>
  <dimension ref="B1:C12"/>
  <sheetViews>
    <sheetView workbookViewId="0">
      <selection activeCell="B13" sqref="B13"/>
    </sheetView>
  </sheetViews>
  <sheetFormatPr defaultRowHeight="15"/>
  <cols>
    <col min="2" max="2" width="20" bestFit="1" customWidth="1"/>
    <col min="3" max="3" width="26.140625" bestFit="1" customWidth="1"/>
  </cols>
  <sheetData>
    <row r="1" spans="2:3" ht="18.75">
      <c r="B1" s="53" t="s">
        <v>52</v>
      </c>
      <c r="C1" s="53"/>
    </row>
    <row r="2" spans="2:3">
      <c r="B2" t="s">
        <v>69</v>
      </c>
      <c r="C2" t="s">
        <v>70</v>
      </c>
    </row>
    <row r="3" spans="2:3">
      <c r="B3" t="s">
        <v>71</v>
      </c>
      <c r="C3" t="s">
        <v>72</v>
      </c>
    </row>
    <row r="4" spans="2:3">
      <c r="B4" t="s">
        <v>73</v>
      </c>
      <c r="C4" t="s">
        <v>74</v>
      </c>
    </row>
    <row r="5" spans="2:3">
      <c r="B5" t="s">
        <v>75</v>
      </c>
      <c r="C5" t="s">
        <v>76</v>
      </c>
    </row>
    <row r="6" spans="2:3">
      <c r="B6" t="s">
        <v>77</v>
      </c>
      <c r="C6" t="s">
        <v>78</v>
      </c>
    </row>
    <row r="7" spans="2:3">
      <c r="B7" t="s">
        <v>79</v>
      </c>
      <c r="C7" t="s">
        <v>80</v>
      </c>
    </row>
    <row r="8" spans="2:3">
      <c r="B8" t="s">
        <v>81</v>
      </c>
      <c r="C8" t="s">
        <v>82</v>
      </c>
    </row>
    <row r="9" spans="2:3">
      <c r="B9" t="s">
        <v>83</v>
      </c>
      <c r="C9" t="s">
        <v>84</v>
      </c>
    </row>
    <row r="10" spans="2:3">
      <c r="B10" t="s">
        <v>85</v>
      </c>
      <c r="C10" t="s">
        <v>86</v>
      </c>
    </row>
    <row r="11" spans="2:3">
      <c r="B11" t="s">
        <v>87</v>
      </c>
      <c r="C11" t="s">
        <v>88</v>
      </c>
    </row>
    <row r="12" spans="2:3">
      <c r="B12" t="s">
        <v>89</v>
      </c>
      <c r="C12" t="s">
        <v>90</v>
      </c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11</vt:i4>
      </vt:variant>
    </vt:vector>
  </HeadingPairs>
  <TitlesOfParts>
    <vt:vector size="15" baseType="lpstr">
      <vt:lpstr>Original Instructions</vt:lpstr>
      <vt:lpstr>Project-Overview</vt:lpstr>
      <vt:lpstr>Project-Data</vt:lpstr>
      <vt:lpstr>Named-Ranges</vt:lpstr>
      <vt:lpstr>_1st_instalment</vt:lpstr>
      <vt:lpstr>_2nd_instalment</vt:lpstr>
      <vt:lpstr>_3rd_instalment</vt:lpstr>
      <vt:lpstr>_4th_instalment</vt:lpstr>
      <vt:lpstr>Finish_date</vt:lpstr>
      <vt:lpstr>Project_cost</vt:lpstr>
      <vt:lpstr>Project_number</vt:lpstr>
      <vt:lpstr>Project_profit</vt:lpstr>
      <vt:lpstr>Quoted_price</vt:lpstr>
      <vt:lpstr>Start_date</vt:lpstr>
      <vt:lpstr>Total_receipts</vt:lpstr>
    </vt:vector>
  </TitlesOfParts>
  <Company>Kent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Behnaz Ortakand</dc:creator>
  <cp:lastModifiedBy>Ankit Gupta</cp:lastModifiedBy>
  <dcterms:created xsi:type="dcterms:W3CDTF">2016-08-30T01:18:10Z</dcterms:created>
  <dcterms:modified xsi:type="dcterms:W3CDTF">2026-10-06T09:58:06Z</dcterms:modified>
</cp:coreProperties>
</file>